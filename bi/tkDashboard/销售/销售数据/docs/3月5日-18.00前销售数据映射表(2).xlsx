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源数据路径" sheetId="2" r:id="rId1"/>
    <sheet name="映射表" sheetId="1" r:id="rId2"/>
    <sheet name="需求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645794EEF3D0485383C1A28E40C76CE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34385" y="115570"/>
          <a:ext cx="12925425" cy="5514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E0F90B5C306E4223883917CDA298EA5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05325" y="2806700"/>
          <a:ext cx="15621000" cy="8724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DEA75D5D237240C88982A8E71FD9FF7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86600" y="10230485"/>
          <a:ext cx="13716000" cy="7067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0A86FA29A247416F900D94C299BE75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39025" y="7030085"/>
          <a:ext cx="14173200" cy="4743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4C4D6645626F438082171E98B595808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753100" y="857250"/>
          <a:ext cx="10115550" cy="9563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752AA10AB3984FC791FA49011A8FC86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458075" y="857250"/>
          <a:ext cx="10115550" cy="1781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29F6C6BB4BD043EC83B2576E9444BD1F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8410575" y="857250"/>
          <a:ext cx="9048750" cy="227647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<sst xmlns="http://schemas.openxmlformats.org/spreadsheetml/2006/main" count="75" uniqueCount="49">
  <si>
    <t>表</t>
  </si>
  <si>
    <t>步骤</t>
  </si>
  <si>
    <t>来源途径</t>
  </si>
  <si>
    <t>全渠道销售订单表</t>
  </si>
  <si>
    <t>1，</t>
  </si>
  <si>
    <t>积加-》销售-》销售订单管理-》筛选店铺-》筛选付款时间
店铺：
美国TK独立站-shopify:Global
美国TK-艾斯特尼-美区跨境1店
美国TK-艾斯特尼-美区跨境2店
美国TK-艾斯特尼-美区跨境3店
美国TK-艾斯特尼-英国直邮店:GB</t>
  </si>
  <si>
    <t>积加后台</t>
  </si>
  <si>
    <t>2，</t>
  </si>
  <si>
    <r>
      <rPr>
        <sz val="11"/>
        <color theme="1"/>
        <rFont val="宋体"/>
        <charset val="134"/>
        <scheme val="minor"/>
      </rPr>
      <t>导出-》根据所选字段导出-》导出</t>
    </r>
    <r>
      <rPr>
        <sz val="11"/>
        <color rgb="FFFF0000"/>
        <rFont val="宋体"/>
        <charset val="134"/>
        <scheme val="minor"/>
      </rPr>
      <t>全渠道销售订单表</t>
    </r>
  </si>
  <si>
    <t>全渠道商品表</t>
  </si>
  <si>
    <t>积加-》销售-》商品管理-》全渠道商品-》筛选店铺-》筛选在售
店铺：
美国TK独立站-shopify:Global
美国TK-艾斯特尼-美区跨境1店
美国TK-艾斯特尼-美区跨境2店
美国TK-艾斯特尼-美区跨境3店
美国TK-艾斯特尼-英国直邮店:GB</t>
  </si>
  <si>
    <t>导出-》根据所选字段导出-》导出全渠道商品表</t>
  </si>
  <si>
    <t>条件/需求公式(没有为空)</t>
  </si>
  <si>
    <t>关联字段</t>
  </si>
  <si>
    <t>源数据表</t>
  </si>
  <si>
    <t>源字段名称</t>
  </si>
  <si>
    <t>最终数据表</t>
  </si>
  <si>
    <t>目标字段</t>
  </si>
  <si>
    <t>备注</t>
  </si>
  <si>
    <t>付款时间</t>
  </si>
  <si>
    <t>TK-独立站数据销量趋势数据</t>
  </si>
  <si>
    <t>Paid Time</t>
  </si>
  <si>
    <t>提取付款时间的年月，格式:202502</t>
  </si>
  <si>
    <t>归属月份(公式）</t>
  </si>
  <si>
    <t>店铺</t>
  </si>
  <si>
    <t>平台订单编号</t>
  </si>
  <si>
    <t>order id</t>
  </si>
  <si>
    <t>asin</t>
  </si>
  <si>
    <t>Platform SKU ID.</t>
  </si>
  <si>
    <t>msku</t>
  </si>
  <si>
    <t>Seller sku input by the seller in the product system.</t>
  </si>
  <si>
    <t>订购数量</t>
  </si>
  <si>
    <t>SKU sold quantity in the order.</t>
  </si>
  <si>
    <t>买家实付金额</t>
  </si>
  <si>
    <t>Order total amount paid by the buyer.</t>
  </si>
  <si>
    <t>父ASIN</t>
  </si>
  <si>
    <t>PID</t>
  </si>
  <si>
    <t>SPU</t>
  </si>
  <si>
    <t>SPU(公式）</t>
  </si>
  <si>
    <t>需求</t>
  </si>
  <si>
    <t>例子</t>
  </si>
  <si>
    <t>需求一</t>
  </si>
  <si>
    <t xml:space="preserve">只提取源数据表(全渠道销售)中买家实付金额不为零
1、美区：付款时间的早于（夏令时18.00，冬令时17.00）数据
2、欧洲：不需要限制时间，全部数据
</t>
  </si>
  <si>
    <t>根据"全渠道销售表"，店铺+订单号去重，播到到企微项目群</t>
  </si>
  <si>
    <t xml:space="preserve">2月27日（美国时间）客户数：1店230/2店0/3店3/英区12/独立站0@所有人 </t>
  </si>
  <si>
    <t>需求二</t>
  </si>
  <si>
    <t>映射源数据表(全渠道销售)字段到"订单明细（剔除支付金额为0，剔除支付时间为空）"</t>
  </si>
  <si>
    <r>
      <rPr>
        <sz val="11"/>
        <color theme="1"/>
        <rFont val="宋体"/>
        <charset val="134"/>
        <scheme val="minor"/>
      </rPr>
      <t xml:space="preserve">分析近两天的差异，将近7天的数据（SPU下的PID的销量变化）播报到企微项目群
店铺：
美国TK独立站-shopify:Global
</t>
    </r>
    <r>
      <rPr>
        <sz val="11"/>
        <color rgb="FFFF0000"/>
        <rFont val="宋体"/>
        <charset val="134"/>
        <scheme val="minor"/>
      </rPr>
      <t>美国TK-艾斯特尼-美区跨境1店（先做）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美国TK-艾斯特尼-美区跨境3店（先做）
美国TK-艾斯特尼-英国直邮店:GB（先做）</t>
    </r>
    <r>
      <rPr>
        <sz val="11"/>
        <color theme="1"/>
        <rFont val="宋体"/>
        <charset val="134"/>
        <scheme val="minor"/>
      </rPr>
      <t xml:space="preserve">
</t>
    </r>
  </si>
  <si>
    <t>根据第三步的数据用AI分析哪些PID销量增减异常，做异常情况播报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</si>
</sst>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="85" zoomScaleNormal="85" workbookViewId="0">
      <selection activeCell="I3" sqref="I3"/>
    </sheetView>
  </sheetViews>
  <sheetFormatPr defaultColWidth="9" defaultRowHeight="16.8" outlineLevelRow="4" outlineLevelCol="4"/>
  <cols>
    <col min="1" max="1" width="33.875" customWidth="1"/>
    <col min="3" max="4" width="74.0865384615385" customWidth="1"/>
    <col min="5" max="5" width="83.875" customWidth="1"/>
    <col min="6" max="6" width="21.1153846153846" customWidth="1"/>
  </cols>
  <sheetData>
    <row r="1" s="11" customFormat="1" spans="1:5">
      <c r="A1" s="11" t="s">
        <v>0</v>
      </c>
      <c r="B1" s="11" t="s">
        <v>1</v>
      </c>
      <c r="D1" s="11" t="s">
        <v>2</v>
      </c>
    </row>
    <row r="2" ht="221" customHeight="1" spans="1:5">
      <c r="A2" s="11" t="s">
        <v>3</v>
      </c>
      <c r="B2" t="s">
        <v>4</v>
      </c>
      <c r="C2" s="1" t="s">
        <v>5</v>
      </c>
      <c r="D2" s="5" t="s">
        <v>6</v>
      </c>
      <c r="E2" t="str">
        <f>_xlfn.DISPIMG("ID_645794EEF3D0485383C1A28E40C76CE9",1)</f>
        <v>=DISPIMG("ID_645794EEF3D0485383C1A28E40C76CE9",1)</v>
      </c>
    </row>
    <row r="3" ht="244.1" spans="1:5">
      <c r="A3" s="11"/>
      <c r="B3" t="s">
        <v>7</v>
      </c>
      <c r="C3" s="4" t="s">
        <v>8</v>
      </c>
      <c r="D3" s="5"/>
      <c r="E3" t="str">
        <f>_xlfn.DISPIMG("ID_E0F90B5C306E4223883917CDA298EA5C",1)</f>
        <v>=DISPIMG("ID_E0F90B5C306E4223883917CDA298EA5C",1)</v>
      </c>
    </row>
    <row r="4" ht="255" customHeight="1" spans="1:5">
      <c r="A4" s="5" t="s">
        <v>9</v>
      </c>
      <c r="B4" t="s">
        <v>4</v>
      </c>
      <c r="C4" s="1" t="s">
        <v>10</v>
      </c>
      <c r="D4" s="5" t="s">
        <v>6</v>
      </c>
      <c r="E4" t="str">
        <f>_xlfn.DISPIMG("ID_0A86FA29A247416F900D94C299BE7517",1)</f>
        <v>=DISPIMG("ID_0A86FA29A247416F900D94C299BE7517",1)</v>
      </c>
    </row>
    <row r="5" ht="225.3" spans="1:5">
      <c r="A5" s="5"/>
      <c r="B5" t="s">
        <v>7</v>
      </c>
      <c r="C5" s="1" t="s">
        <v>11</v>
      </c>
      <c r="D5" s="5"/>
      <c r="E5" t="str">
        <f>_xlfn.DISPIMG("ID_DEA75D5D237240C88982A8E71FD9FF70",1)</f>
        <v>=DISPIMG("ID_DEA75D5D237240C88982A8E71FD9FF70",1)</v>
      </c>
    </row>
  </sheetData>
  <mergeCells count="4">
    <mergeCell ref="A2:A3"/>
    <mergeCell ref="A4:A5"/>
    <mergeCell ref="D2:D3"/>
    <mergeCell ref="D4:D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zoomScale="141" zoomScaleNormal="141" workbookViewId="0">
      <pane ySplit="3" topLeftCell="A4" activePane="bottomLeft" state="frozen"/>
      <selection/>
      <selection pane="bottomLeft" activeCell="C18" sqref="C18"/>
    </sheetView>
  </sheetViews>
  <sheetFormatPr defaultColWidth="9" defaultRowHeight="16.8" outlineLevelCol="7"/>
  <cols>
    <col min="1" max="1" width="39.7596153846154" style="1" customWidth="1"/>
    <col min="2" max="2" width="22.375" style="1" customWidth="1"/>
    <col min="3" max="3" width="20.625" style="1" customWidth="1"/>
    <col min="4" max="4" width="14.375" style="1" customWidth="1"/>
    <col min="5" max="6" width="54" style="1" customWidth="1"/>
    <col min="7" max="7" width="30.875" style="1" customWidth="1"/>
    <col min="8" max="10" width="9" style="1"/>
    <col min="11" max="11" width="12.625" style="1"/>
    <col min="12" max="12" width="9" style="1"/>
    <col min="13" max="13" width="9.375" style="1"/>
    <col min="14" max="16384" width="9" style="1"/>
  </cols>
  <sheetData>
    <row r="1" s="5" customFormat="1" spans="1:8">
      <c r="A1" s="6"/>
      <c r="B1" s="6"/>
      <c r="C1" s="6"/>
      <c r="D1" s="6"/>
      <c r="E1" s="6"/>
      <c r="F1" s="6"/>
      <c r="G1" s="6"/>
      <c r="H1" s="6"/>
    </row>
    <row r="2" s="5" customFormat="1" spans="1:8">
      <c r="A2" s="6"/>
      <c r="B2" s="6"/>
      <c r="C2" s="6"/>
      <c r="D2" s="6"/>
      <c r="E2" s="6"/>
      <c r="F2" s="6"/>
      <c r="G2" s="6"/>
      <c r="H2" s="6"/>
    </row>
    <row r="3" s="5" customFormat="1" ht="21" customHeight="1" spans="1:8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/>
    </row>
    <row r="4" s="5" customFormat="1" ht="50" customHeight="1" spans="1:8">
      <c r="A4" s="8"/>
      <c r="B4" s="8"/>
      <c r="C4" s="8" t="s">
        <v>3</v>
      </c>
      <c r="D4" s="8" t="s">
        <v>19</v>
      </c>
      <c r="E4" s="8" t="s">
        <v>20</v>
      </c>
      <c r="F4" s="8" t="s">
        <v>21</v>
      </c>
      <c r="G4" s="8"/>
      <c r="H4" s="8"/>
    </row>
    <row r="5" s="5" customFormat="1" ht="26" customHeight="1" spans="1:8">
      <c r="A5" s="8" t="s">
        <v>22</v>
      </c>
      <c r="B5" s="8"/>
      <c r="C5" s="8" t="s">
        <v>3</v>
      </c>
      <c r="D5" s="8"/>
      <c r="E5" s="8" t="s">
        <v>20</v>
      </c>
      <c r="F5" s="8" t="s">
        <v>23</v>
      </c>
      <c r="G5" s="8"/>
      <c r="H5" s="8"/>
    </row>
    <row r="6" ht="17" spans="1:8">
      <c r="A6" s="9"/>
      <c r="B6" s="9"/>
      <c r="C6" s="8" t="s">
        <v>3</v>
      </c>
      <c r="D6" s="9" t="s">
        <v>24</v>
      </c>
      <c r="E6" s="8" t="s">
        <v>20</v>
      </c>
      <c r="F6" s="9" t="s">
        <v>24</v>
      </c>
      <c r="G6" s="9"/>
      <c r="H6" s="9"/>
    </row>
    <row r="7" ht="17" spans="1:8">
      <c r="A7" s="9"/>
      <c r="B7" s="9"/>
      <c r="C7" s="8" t="s">
        <v>3</v>
      </c>
      <c r="D7" s="9" t="s">
        <v>25</v>
      </c>
      <c r="E7" s="8" t="s">
        <v>20</v>
      </c>
      <c r="F7" s="9" t="s">
        <v>26</v>
      </c>
      <c r="G7" s="9"/>
      <c r="H7" s="9"/>
    </row>
    <row r="8" ht="17" spans="1:8">
      <c r="A8" s="9"/>
      <c r="B8" s="9"/>
      <c r="C8" s="8" t="s">
        <v>3</v>
      </c>
      <c r="D8" s="9" t="s">
        <v>27</v>
      </c>
      <c r="E8" s="8" t="s">
        <v>20</v>
      </c>
      <c r="F8" s="9" t="s">
        <v>28</v>
      </c>
      <c r="G8" s="9"/>
      <c r="H8" s="9"/>
    </row>
    <row r="9" ht="17" spans="1:8">
      <c r="A9" s="9"/>
      <c r="B9" s="9"/>
      <c r="C9" s="8" t="s">
        <v>3</v>
      </c>
      <c r="D9" s="9" t="s">
        <v>29</v>
      </c>
      <c r="E9" s="8" t="s">
        <v>20</v>
      </c>
      <c r="F9" s="9" t="s">
        <v>30</v>
      </c>
      <c r="G9" s="9"/>
      <c r="H9" s="9"/>
    </row>
    <row r="10" ht="17" spans="1:8">
      <c r="A10" s="9"/>
      <c r="B10" s="9"/>
      <c r="C10" s="8" t="s">
        <v>3</v>
      </c>
      <c r="D10" s="9" t="s">
        <v>31</v>
      </c>
      <c r="E10" s="8" t="s">
        <v>20</v>
      </c>
      <c r="F10" s="9" t="s">
        <v>32</v>
      </c>
      <c r="G10" s="9"/>
      <c r="H10" s="9"/>
    </row>
    <row r="11" ht="17" spans="1:8">
      <c r="A11" s="9"/>
      <c r="B11" s="9"/>
      <c r="C11" s="8" t="s">
        <v>3</v>
      </c>
      <c r="D11" s="9" t="s">
        <v>33</v>
      </c>
      <c r="E11" s="8" t="s">
        <v>20</v>
      </c>
      <c r="F11" s="9" t="s">
        <v>34</v>
      </c>
      <c r="G11" s="9"/>
      <c r="H11" s="9"/>
    </row>
    <row r="12" ht="17" spans="1:8">
      <c r="A12" s="9"/>
      <c r="B12" s="9" t="s">
        <v>27</v>
      </c>
      <c r="C12" s="9" t="s">
        <v>9</v>
      </c>
      <c r="D12" s="9" t="s">
        <v>35</v>
      </c>
      <c r="E12" s="8" t="s">
        <v>20</v>
      </c>
      <c r="F12" s="9" t="s">
        <v>36</v>
      </c>
      <c r="G12" s="9"/>
      <c r="H12" s="9"/>
    </row>
    <row r="13" ht="17" spans="1:8">
      <c r="A13" s="9"/>
      <c r="B13" s="9" t="s">
        <v>27</v>
      </c>
      <c r="C13" s="9" t="s">
        <v>9</v>
      </c>
      <c r="D13" s="9" t="s">
        <v>37</v>
      </c>
      <c r="E13" s="8" t="s">
        <v>20</v>
      </c>
      <c r="F13" s="9" t="s">
        <v>38</v>
      </c>
      <c r="G13" s="9"/>
      <c r="H13" s="9"/>
    </row>
    <row r="15" spans="1:8">
      <c r="A15" s="10"/>
      <c r="B15" s="10"/>
      <c r="C15" s="5"/>
    </row>
  </sheetData>
  <mergeCells count="2">
    <mergeCell ref="A15:C15"/>
    <mergeCell ref="A1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B8" sqref="B8"/>
    </sheetView>
  </sheetViews>
  <sheetFormatPr defaultColWidth="9" defaultRowHeight="16.8" outlineLevelCol="3"/>
  <cols>
    <col min="1" max="1" width="76.5961538461538" style="1" customWidth="1"/>
    <col min="2" max="2" width="22.375" customWidth="1"/>
    <col min="3" max="3" width="21.2596153846154" customWidth="1"/>
    <col min="4" max="4" width="20.2596153846154" customWidth="1"/>
  </cols>
  <sheetData>
    <row r="1" ht="17" spans="1:4">
      <c r="A1" s="2" t="s">
        <v>39</v>
      </c>
      <c r="B1" s="3" t="s">
        <v>40</v>
      </c>
    </row>
    <row r="2" ht="17" spans="1:4">
      <c r="A2" s="1" t="s">
        <v>41</v>
      </c>
    </row>
    <row r="3" ht="68" spans="1:4">
      <c r="A3" s="1" t="s">
        <v>42</v>
      </c>
    </row>
    <row r="4" ht="17" spans="1:4">
      <c r="A4" s="1" t="s">
        <v>43</v>
      </c>
      <c r="B4" t="s">
        <v>44</v>
      </c>
    </row>
    <row r="5" ht="17" spans="1:4">
      <c r="A5" s="1" t="s">
        <v>45</v>
      </c>
    </row>
    <row r="6" ht="68" spans="1:4">
      <c r="A6" s="1" t="s">
        <v>42</v>
      </c>
    </row>
    <row r="7" ht="34" spans="1:4">
      <c r="A7" s="1" t="s">
        <v>46</v>
      </c>
    </row>
    <row r="8" ht="185" spans="1:4">
      <c r="A8" s="4" t="s">
        <v>47</v>
      </c>
      <c r="B8" t="str">
        <f>_xlfn.DISPIMG("ID_4C4D6645626F438082171E98B5958084",1)</f>
        <v>=DISPIMG("ID_4C4D6645626F438082171E98B5958084",1)</v>
      </c>
      <c r="C8" t="str">
        <f>_xlfn.DISPIMG("ID_752AA10AB3984FC791FA49011A8FC865",1)</f>
        <v>=DISPIMG("ID_752AA10AB3984FC791FA49011A8FC865",1)</v>
      </c>
      <c r="D8" t="str">
        <f>_xlfn.DISPIMG("ID_29F6C6BB4BD043EC83B2576E9444BD1F",1)</f>
        <v>=DISPIMG("ID_29F6C6BB4BD043EC83B2576E9444BD1F",1)</v>
      </c>
    </row>
    <row r="9" ht="17" spans="1:4">
      <c r="A9" s="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源数据路径</vt:lpstr>
      <vt:lpstr>映射表</vt:lpstr>
      <vt:lpstr>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自朗活</cp:lastModifiedBy>
  <dcterms:created xsi:type="dcterms:W3CDTF">2026-02-27T01:36:00Z</dcterms:created>
  <dcterms:modified xsi:type="dcterms:W3CDTF">2026-03-06T10:29:36Z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6C1F720258D6461E90187DE1B1F3CDB2_13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
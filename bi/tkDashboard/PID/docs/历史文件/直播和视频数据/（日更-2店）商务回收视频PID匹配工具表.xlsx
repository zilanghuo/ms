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4460"/>
  </bookViews>
  <sheets>
    <sheet name="数据源粘贴在这里" sheetId="3" r:id="rId1"/>
  </sheets>
  <definedNames>
    <definedName name="_xlnm._FilterDatabase" localSheetId="0" hidden="1">数据源粘贴在这里!$A$3:$AA$218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Y3" authorId="0">
      <text>
        <r>
          <rPr>
            <sz val="9"/>
            <rFont val="宋体"/>
            <charset val="134"/>
          </rPr>
          <t xml:space="preserve">手动检查的2个情况：
1，视频删除
2，商品名称有修改，匹配不到的情况
</t>
        </r>
      </text>
    </comment>
  </commentList>
</comments>
</file>

<file path=xl/sharedStrings.xml><?xml version="1.0" encoding="utf-8"?>
<sst xmlns="http://schemas.openxmlformats.org/spreadsheetml/2006/main" count="2596" uniqueCount="1069">
  <si>
    <t xml:space="preserve">[日期范围]: 2024-11-28 ~ 2024-12-25
</t>
  </si>
  <si>
    <t>达人昵称</t>
  </si>
  <si>
    <t>达人ID</t>
  </si>
  <si>
    <t>视频信息</t>
  </si>
  <si>
    <t>视频ID</t>
  </si>
  <si>
    <t>发布时间</t>
  </si>
  <si>
    <t>商品</t>
  </si>
  <si>
    <t>视频vv</t>
  </si>
  <si>
    <t>点赞数</t>
  </si>
  <si>
    <t>评论数</t>
  </si>
  <si>
    <t>分享数</t>
  </si>
  <si>
    <t>新增粉丝数</t>
  </si>
  <si>
    <t>引流次数</t>
  </si>
  <si>
    <t>商品曝光次数</t>
  </si>
  <si>
    <t>商品点击次数</t>
  </si>
  <si>
    <t>视频成交用户数</t>
  </si>
  <si>
    <t>视频成交订单数</t>
  </si>
  <si>
    <t>视频成交商品件数</t>
  </si>
  <si>
    <t>视频成交金额 ($)</t>
  </si>
  <si>
    <t>GPM ($)</t>
  </si>
  <si>
    <t>归因于可购物视频的商品交易总额 ($)</t>
  </si>
  <si>
    <t>曝光点击率</t>
  </si>
  <si>
    <t>引流率</t>
  </si>
  <si>
    <t>视频完播率</t>
  </si>
  <si>
    <t>点击成交转化率</t>
  </si>
  <si>
    <t>PID</t>
  </si>
  <si>
    <t>是否开单达人</t>
  </si>
  <si>
    <t>店铺名</t>
  </si>
  <si>
    <t>charityhope90</t>
  </si>
  <si>
    <t>6876638141387211782</t>
  </si>
  <si>
    <t xml:space="preserve">Destressing on the neckline and the sleeve cuffs! Seriously the best!!! So warm and thick.  #hoodies #unisexhoodie </t>
  </si>
  <si>
    <t>7443116210671209759</t>
  </si>
  <si>
    <t>2024/11/30 08:52:40</t>
  </si>
  <si>
    <t>FAIABLE Vintage Unisex Acid Wash Hoodies Oversized Couples Sweatshirt Comfortable Long Sleeve Street Fashion Top with Round neck two pockets Relaxed Fit loose Terry Heavyweight Hoodies for Spring Winter Distinctive Look Sweatshirts for Relaxing or Hiking</t>
  </si>
  <si>
    <t>6.76%</t>
  </si>
  <si>
    <t>0.00%</t>
  </si>
  <si>
    <t>0.51%</t>
  </si>
  <si>
    <t>3.24%</t>
  </si>
  <si>
    <r>
      <rPr>
        <sz val="11"/>
        <color theme="1"/>
        <rFont val="Calibri"/>
        <charset val="134"/>
      </rPr>
      <t>2</t>
    </r>
    <r>
      <rPr>
        <sz val="11"/>
        <color theme="1"/>
        <rFont val="宋体"/>
        <charset val="134"/>
      </rPr>
      <t>店</t>
    </r>
    <r>
      <rPr>
        <sz val="11"/>
        <color theme="1"/>
        <rFont val="Calibri"/>
        <charset val="134"/>
      </rPr>
      <t>-DNZZS</t>
    </r>
  </si>
  <si>
    <t>mhurley28</t>
  </si>
  <si>
    <t>6783366690275460101</t>
  </si>
  <si>
    <t xml:space="preserve">viral hoodie #faiablehoodie #faiable #distressedhoodie #acidwashedhoodie #tiktokshopfinds #giftguide #ttstakeover #tiktokshopblackfriday </t>
  </si>
  <si>
    <t>7437919666091101470</t>
  </si>
  <si>
    <t>2024/11/16 08:47:21</t>
  </si>
  <si>
    <t>FAIABLE Acid Wash Hoodie - Unisex Oversized Pullover Hoodie for Men - Soft and Warm Fleeced Fabric - High-Quality Long Sleeve - Skateboard Inspired - Solid Color - Kangaroo Pocket - Bleach Effect - Perfect for Layering or Lounging</t>
  </si>
  <si>
    <t>4.64%</t>
  </si>
  <si>
    <t>0.90%</t>
  </si>
  <si>
    <t>2.22%</t>
  </si>
  <si>
    <t>2店-DNZZS</t>
  </si>
  <si>
    <t>c0lez_lame</t>
  </si>
  <si>
    <t>6883692609975059461</t>
  </si>
  <si>
    <t xml:space="preserve">fr like def top fav hoodie now NJ #hoodie #comfy #sick #dope #fit #fitcheck #vintage #ootd #love #inlove #hoodies #y2k #fashion #looks #fits #comfyclothes #toptier #yummy #foryou #foryoupage </t>
  </si>
  <si>
    <t>7387511756475698475</t>
  </si>
  <si>
    <t>2024/07/03 12:38:45</t>
  </si>
  <si>
    <t>FAIABLE Vintage Fade Craft Distressed Hoody - Soft &amp; Warm, Oversized Heavyweight Fleeced Fabric, Unisex Long Sleeve Tops for Men - Bleach Washed Relaxed Fit</t>
  </si>
  <si>
    <t>16.92%</t>
  </si>
  <si>
    <t>17.12%</t>
  </si>
  <si>
    <t>0.15%</t>
  </si>
  <si>
    <t>hailey.whiteeeee</t>
  </si>
  <si>
    <t>7159549454318601258</t>
  </si>
  <si>
    <t xml:space="preserve">the best thing i have EVER purchased #collegegirls #comfyoutfits #girls #comfyclothes #TikTokShop #vintagehoodie #cuteandcomfy #vintagefashion </t>
  </si>
  <si>
    <t>7385685047593995551</t>
  </si>
  <si>
    <t>2024/06/28 14:30:14</t>
  </si>
  <si>
    <t>7.54%</t>
  </si>
  <si>
    <t>1.02%</t>
  </si>
  <si>
    <t>0.67%</t>
  </si>
  <si>
    <t>maya.shopwithme</t>
  </si>
  <si>
    <t>7222852818047681582</t>
  </si>
  <si>
    <t xml:space="preserve">#obsessed doesn't even begin to describe it... i instantly felt calm, Cozy, and cute after putting on my new Comfrt hoodie!! 🥰 #comfrt #comfrtclothing  #comfrthoodie  #hoodie #weightedhoodie  #comfrthoodies  #cozygifts #giftsforher #giftforhim #christmasgiftideas #giftguide #ttsdelight #tiktokshopholidayhaul </t>
  </si>
  <si>
    <t>7444230741099040042</t>
  </si>
  <si>
    <t>2024/12/03 08:57:22</t>
  </si>
  <si>
    <t/>
  </si>
  <si>
    <t>hizamabdullah</t>
  </si>
  <si>
    <t>6655107025615880198</t>
  </si>
  <si>
    <t xml:space="preserve">On my showcase #fashion #mensclothing #tiktokshop </t>
  </si>
  <si>
    <t>7402099057289710890</t>
  </si>
  <si>
    <t>2024/08/11 20:04:57</t>
  </si>
  <si>
    <t>FAIABLE Soft Fleeced Fabric, Warm and Loose Fit, High-Quality Solid Color Sweatshirt with Kangaroo Pocket - Perfect for Lounging and Relaxing in Style!</t>
  </si>
  <si>
    <t>11.40%</t>
  </si>
  <si>
    <t>5.26%</t>
  </si>
  <si>
    <t>3.85%</t>
  </si>
  <si>
    <t>not.voa</t>
  </si>
  <si>
    <t>7025311516644410373</t>
  </si>
  <si>
    <t xml:space="preserve">#pants #jeans #baggy #baggyjeans </t>
  </si>
  <si>
    <t>7433078927146503466</t>
  </si>
  <si>
    <t>2024/11/03 07:42:38</t>
  </si>
  <si>
    <t>vicbootydalis</t>
  </si>
  <si>
    <t>6772180062236345350</t>
  </si>
  <si>
    <t xml:space="preserve">God i love the color brown </t>
  </si>
  <si>
    <t>7423202103146908970</t>
  </si>
  <si>
    <t>2024/10/07 16:55:28</t>
  </si>
  <si>
    <t xml:space="preserve">im living in this sweatshirt this winter #vintageclothes #vintagewashedhoodie #sweatshirts #sweatshirt #hoodie #washedhoodie </t>
  </si>
  <si>
    <t>7451427129205574943</t>
  </si>
  <si>
    <t>2024/12/22 18:23:08</t>
  </si>
  <si>
    <t>1.77%</t>
  </si>
  <si>
    <t>6.65%</t>
  </si>
  <si>
    <t>nataliashopfinds</t>
  </si>
  <si>
    <t>7400778770980324398</t>
  </si>
  <si>
    <t xml:space="preserve">Heavyweight without the fuzz. #hoodie #oversisedhoodie #acidwashhoodie #faible </t>
  </si>
  <si>
    <t>7450994238017260843</t>
  </si>
  <si>
    <t>2024/12/21 14:23:07</t>
  </si>
  <si>
    <t>3.99%</t>
  </si>
  <si>
    <t>5.80%</t>
  </si>
  <si>
    <t>aidanmiller765</t>
  </si>
  <si>
    <t>6664021192833400838</t>
  </si>
  <si>
    <t>7450993322266578218</t>
  </si>
  <si>
    <t>2024/12/21 14:19:36</t>
  </si>
  <si>
    <t>3.12%</t>
  </si>
  <si>
    <t>11.11%</t>
  </si>
  <si>
    <t>10.61%</t>
  </si>
  <si>
    <t>dnzzs_official</t>
  </si>
  <si>
    <t>6890814913138557958</t>
  </si>
  <si>
    <t>This Christmas, wrap yourself in style with our exclusive apparel collection.</t>
  </si>
  <si>
    <t>7450415075912928554</t>
  </si>
  <si>
    <t>2024/12/20 00:59:16</t>
  </si>
  <si>
    <t>7450415075912912170</t>
  </si>
  <si>
    <t>2024/12/20 00:59:00</t>
  </si>
  <si>
    <t>figgy_m13</t>
  </si>
  <si>
    <t>6851350831032566789</t>
  </si>
  <si>
    <t>7449364845843025183</t>
  </si>
  <si>
    <t>2024/12/17 05:00:49</t>
  </si>
  <si>
    <t>6.27%</t>
  </si>
  <si>
    <t>7.11%</t>
  </si>
  <si>
    <t>shopwithkeoni</t>
  </si>
  <si>
    <t>7399366186125050922</t>
  </si>
  <si>
    <t xml:space="preserve">What do y’all think #hoodie #hoodieszn #tiktokshopblackfriday #clothes </t>
  </si>
  <si>
    <t>7448336574615424298</t>
  </si>
  <si>
    <t>2024/12/14 10:30:04</t>
  </si>
  <si>
    <t>3.46%</t>
  </si>
  <si>
    <t>0.87%</t>
  </si>
  <si>
    <t>legndryshop</t>
  </si>
  <si>
    <t>7046486369943045166</t>
  </si>
  <si>
    <t xml:space="preserve">Follow me for the best deals on TikTok Shop! 🔥#tiktokshop #tiktokmademebuyit #country #southern </t>
  </si>
  <si>
    <t>7447748843267099950</t>
  </si>
  <si>
    <t>2024/12/12 20:29:23</t>
  </si>
  <si>
    <t>3.55%</t>
  </si>
  <si>
    <t>2.24%</t>
  </si>
  <si>
    <t>taylorleighisaacson</t>
  </si>
  <si>
    <t>7197058240176227370</t>
  </si>
  <si>
    <t xml:space="preserve">#güçlüsaçlargüçlüben #hoodie #faiable #faiablehoodie #fiable   #creatorsearchinsights #fyp #fashion #tiktokshopfinds </t>
  </si>
  <si>
    <t>7447579038270377262</t>
  </si>
  <si>
    <t>2024/12/12 09:30:28</t>
  </si>
  <si>
    <t>5.47%</t>
  </si>
  <si>
    <t>0.76%</t>
  </si>
  <si>
    <t xml:space="preserve">#vintage #hoodie #fiable #fiablehoodie #fashion #comfy #fyp #viral #shop #shopsmall #followtrain #teamwork #christmas #holiday #secretsanta </t>
  </si>
  <si>
    <t>7447188436328664366</t>
  </si>
  <si>
    <t>2024/12/11 08:14:43</t>
  </si>
  <si>
    <t>7.60%</t>
  </si>
  <si>
    <t>2.97%</t>
  </si>
  <si>
    <t>geminiafterhourss</t>
  </si>
  <si>
    <t>6959234720178275334</t>
  </si>
  <si>
    <t>31 days of content | day 10: gdwm ft @DNZZS 🤍</t>
  </si>
  <si>
    <t>7446951739409976606</t>
  </si>
  <si>
    <t>2024/12/10 16:56:24</t>
  </si>
  <si>
    <t>15.18%</t>
  </si>
  <si>
    <t>5.63%</t>
  </si>
  <si>
    <t>jess.d.neal</t>
  </si>
  <si>
    <t>6741343909848318981</t>
  </si>
  <si>
    <t xml:space="preserve">Viral Sweatpants! #faiable #faiablepants #washedfleecepants #sweatpants #DealsForYouDays #christmasgift #gift #tiktokshopholidayhaul #fyp </t>
  </si>
  <si>
    <t>7446910502715854126</t>
  </si>
  <si>
    <t>2024/12/10 14:16:10</t>
  </si>
  <si>
    <t>HATANT Unisex Sweatpants Jogger Pants Cozy Fleece Lining and Elastic Waistband Soft Comfortable High-quality Fabric Sweat Pants with Convenient Two Pocket Fashionable Stretch ribbed cuffs and hem Athletic Jogger Pants Suitable for Outdoors Active pants</t>
  </si>
  <si>
    <t>180.00%</t>
  </si>
  <si>
    <t xml:space="preserve">I live in hoodies #hoodies #hoodieszn #hoodieseason #fyp #faiablehoodie #faiable </t>
  </si>
  <si>
    <t>7446875752156417322</t>
  </si>
  <si>
    <t>2024/12/10 12:01:19</t>
  </si>
  <si>
    <t>1.56%</t>
  </si>
  <si>
    <t>3.37%</t>
  </si>
  <si>
    <t>aslan_pv</t>
  </si>
  <si>
    <t>6965171524270703622</t>
  </si>
  <si>
    <t xml:space="preserve">Good quality vintage hoodie. #fyp #foryoupage </t>
  </si>
  <si>
    <t>7446526045966159150</t>
  </si>
  <si>
    <t>2024/12/09 13:24:18</t>
  </si>
  <si>
    <t>8.35%</t>
  </si>
  <si>
    <t>8.13%</t>
  </si>
  <si>
    <t>tay.bay.bay0</t>
  </si>
  <si>
    <t>7004301859544384518</t>
  </si>
  <si>
    <t xml:space="preserve">Outfit of the day cozy  #ootd #momoutfit #creator #fyp #tiktokshop #fallfashiontrends </t>
  </si>
  <si>
    <t>7445139535765490990</t>
  </si>
  <si>
    <t>2024/12/05 19:43:55</t>
  </si>
  <si>
    <t>0.29%</t>
  </si>
  <si>
    <t>5.20%</t>
  </si>
  <si>
    <t xml:space="preserve">The quality is 10/10 </t>
  </si>
  <si>
    <t>7444258245709008170</t>
  </si>
  <si>
    <t>2024/12/03 10:44:06</t>
  </si>
  <si>
    <t>4.19%</t>
  </si>
  <si>
    <t>1.08%</t>
  </si>
  <si>
    <t>livvudis</t>
  </si>
  <si>
    <t>6705810962450514949</t>
  </si>
  <si>
    <t>So cozy I dont wanna take it off to workout🥲</t>
  </si>
  <si>
    <t>7443551554474429726</t>
  </si>
  <si>
    <t>2024/12/01 13:01:57</t>
  </si>
  <si>
    <t>0.70%</t>
  </si>
  <si>
    <t>9.95%</t>
  </si>
  <si>
    <t xml:space="preserve">Your boyfriends hoodie #hoodie #oversizedhoodie #faible #faiblehoodie </t>
  </si>
  <si>
    <t>7443195219098570015</t>
  </si>
  <si>
    <t>2024/11/30 13:59:13</t>
  </si>
  <si>
    <t>3.41%</t>
  </si>
  <si>
    <t>1.99%</t>
  </si>
  <si>
    <t>faiableofficial</t>
  </si>
  <si>
    <t>6898253143843668997</t>
  </si>
  <si>
    <t>Don't forget your coupons #faiablehoodie #faiablevintage #TikTokShopCyberMonday #TikTokShopBlackFriday</t>
  </si>
  <si>
    <t>7441019593042234655</t>
  </si>
  <si>
    <t>2024/11/24 17:16:36</t>
  </si>
  <si>
    <t>faiable_stylish</t>
  </si>
  <si>
    <t>7416621346161247275</t>
  </si>
  <si>
    <t>Discounts are running right now so get them while they’re here</t>
  </si>
  <si>
    <t>7440733674749922602</t>
  </si>
  <si>
    <t>2024/11/23 22:59:42</t>
  </si>
  <si>
    <t>Your New Favorite  Hoodie. Unmatched Comfort and Durability.</t>
  </si>
  <si>
    <t>7440711950591331626</t>
  </si>
  <si>
    <t>2024/11/23 21:30:17</t>
  </si>
  <si>
    <t>The price has been reduced and shipping is free!</t>
  </si>
  <si>
    <t>7440702089115864366</t>
  </si>
  <si>
    <t>2024/11/23 21:13:50</t>
  </si>
  <si>
    <t>7440701505071500590</t>
  </si>
  <si>
    <t>2024/11/23 21:08:43</t>
  </si>
  <si>
    <t>7440701504715033902</t>
  </si>
  <si>
    <t>2024/11/23 21:08:34</t>
  </si>
  <si>
    <t>the best hoodie ever is back in stock in so many colors</t>
  </si>
  <si>
    <t>7440699786497658158</t>
  </si>
  <si>
    <t>2024/11/23 20:44:16</t>
  </si>
  <si>
    <t>This is so cheap rn!! It won’t be this cheap again!!</t>
  </si>
  <si>
    <t>7440695710263037226</t>
  </si>
  <si>
    <t>2024/11/23 20:26:58</t>
  </si>
  <si>
    <t>perfect fit, soft and cozy</t>
  </si>
  <si>
    <t>7440689742821330218</t>
  </si>
  <si>
    <t>2024/11/23 20:09:12</t>
  </si>
  <si>
    <t xml:space="preserve">Do u love V neck Sweaters🤩🤩#faiable #tiktokblackfridaysale #tiktokblackfridaydelas #blackfriday #sweaters #faiablehoodie #meangirls #OutfitInspo #Streetwear #hoodie #blacktiktok #tiktokshopblackfriday #blackfriday #faiablevintage #vintage #novermber </t>
  </si>
  <si>
    <t>7440688518789303598</t>
  </si>
  <si>
    <t>2024/11/23 19:51:42</t>
  </si>
  <si>
    <t xml:space="preserve">Can you introduce today’s outfit?#faiable #tiktokblackfridaysale #tiktokblackfridaydelas #blackfriday #sweaters #faiablehoodie #hoodie #blacktiktok #grwm #outfitoftheday </t>
  </si>
  <si>
    <t>7440687921402760494</t>
  </si>
  <si>
    <t>2024/11/23 19:49:21</t>
  </si>
  <si>
    <t>your sign to get this sweatshirt.</t>
  </si>
  <si>
    <t>7440683893323287851</t>
  </si>
  <si>
    <t>2024/11/23 19:54:49</t>
  </si>
  <si>
    <t>7440442094147194158</t>
  </si>
  <si>
    <t>2024/11/23 03:56:49</t>
  </si>
  <si>
    <t xml:space="preserve">My biggest fan 😂🫶🏻 #fyp #singlemom #momlife #teenagersbelike #teenager #momsoftiktok </t>
  </si>
  <si>
    <t>7439245203388599598</t>
  </si>
  <si>
    <t>2024/11/19 22:30:55</t>
  </si>
  <si>
    <t>1.69%</t>
  </si>
  <si>
    <t>5.08%</t>
  </si>
  <si>
    <t>infinityadventure5</t>
  </si>
  <si>
    <t>7346364237319226414</t>
  </si>
  <si>
    <t xml:space="preserve">#college #hoodies #collegehoodies </t>
  </si>
  <si>
    <t>7438815345546251563</t>
  </si>
  <si>
    <t>2024/11/18 18:42:50</t>
  </si>
  <si>
    <t>michelleaamm</t>
  </si>
  <si>
    <t>6815466127264695302</t>
  </si>
  <si>
    <t>I can’t promise that this will be my last time talking about these hoodies 🤭 @PUMIEY Size XS</t>
  </si>
  <si>
    <t>7436065483121544479</t>
  </si>
  <si>
    <t>2024/11/11 08:52:13</t>
  </si>
  <si>
    <t>arlene_jay</t>
  </si>
  <si>
    <t>6771707940861772806</t>
  </si>
  <si>
    <t>Our friday afternoon🍂</t>
  </si>
  <si>
    <t>7435047031791488287</t>
  </si>
  <si>
    <t>2024/11/08 15:00:01</t>
  </si>
  <si>
    <t>2.08%</t>
  </si>
  <si>
    <t>4.17%</t>
  </si>
  <si>
    <t>mikalahlynn</t>
  </si>
  <si>
    <t>6930687253123974150</t>
  </si>
  <si>
    <t xml:space="preserve">Yall sold out my favorite color😒 #falldealsforyou #treasurefinds #hoodies #fallfinds </t>
  </si>
  <si>
    <t>7433214548003327274</t>
  </si>
  <si>
    <t>2024/11/03 16:28:52</t>
  </si>
  <si>
    <t>15.57%</t>
  </si>
  <si>
    <t>9.84%</t>
  </si>
  <si>
    <t>asyiastarr</t>
  </si>
  <si>
    <t>6804819897727321093</t>
  </si>
  <si>
    <t xml:space="preserve">i love a good boot outfit☺️ #asyiastarr #falloutfits #outfitcheck #fallmusthaves #bootoutfits #creatorsearchinsights </t>
  </si>
  <si>
    <t>7432794695773768991</t>
  </si>
  <si>
    <t>2024/11/02 13:19:48</t>
  </si>
  <si>
    <t>2.31%</t>
  </si>
  <si>
    <t>morgandukee</t>
  </si>
  <si>
    <t>6784506130515526661</t>
  </si>
  <si>
    <t xml:space="preserve">Nothing better than a hoodie that hoodies 💙 #hatant #hatanthoodie #faiable #faiablehoodie #hatant_amazon #acidwashhoodie @Faiable Fashion #TopTierOctober #TreasureFinds #FallDealsForYou #CreatorBoostCamp </t>
  </si>
  <si>
    <t>7429075204258729246</t>
  </si>
  <si>
    <t>2024/10/23 12:46:12</t>
  </si>
  <si>
    <t>2.54%</t>
  </si>
  <si>
    <t>7.63%</t>
  </si>
  <si>
    <t>faiable_favhoodie</t>
  </si>
  <si>
    <t>7416276923247150126</t>
  </si>
  <si>
    <t xml:space="preserve">A time was had today on our live ! Come get in on the fun, we’ll be back Tuesday at 2:30, stay locked !! #hoodies #sweaterweather #cozy #fashion </t>
  </si>
  <si>
    <t>7427639523464564010</t>
  </si>
  <si>
    <t>2024/10/19 15:54:56</t>
  </si>
  <si>
    <t>0.27%</t>
  </si>
  <si>
    <t xml:space="preserve">Going live now with exclusive deals ! Join me now 🔥#hoodies #sweaterweather #cozy #fashion #unisexfashion </t>
  </si>
  <si>
    <t>7426860886905638190</t>
  </si>
  <si>
    <t>2024/10/17 13:33:25</t>
  </si>
  <si>
    <t>1.40%</t>
  </si>
  <si>
    <t>magshaywood</t>
  </si>
  <si>
    <t>6775926060721030149</t>
  </si>
  <si>
    <t xml:space="preserve">💕💕💕 @Faiable Fashion </t>
  </si>
  <si>
    <t>7423504918100577578</t>
  </si>
  <si>
    <t>2024/10/08 12:30:33</t>
  </si>
  <si>
    <t>0.94%</t>
  </si>
  <si>
    <t>0.12%</t>
  </si>
  <si>
    <t>jbtheschoolpsych</t>
  </si>
  <si>
    <t>6938183913925084165</t>
  </si>
  <si>
    <t xml:space="preserve">a pair of cozy joggers 🤝 my fall wardobe </t>
  </si>
  <si>
    <t>7420154902057323807</t>
  </si>
  <si>
    <t>2024/09/29 11:50:56</t>
  </si>
  <si>
    <t>midgettkidd</t>
  </si>
  <si>
    <t>2994217</t>
  </si>
  <si>
    <t xml:space="preserve">😂😂😂😂 man fuck lol my little stud </t>
  </si>
  <si>
    <t>7419532749180046634</t>
  </si>
  <si>
    <t>2024/09/27 19:36:31</t>
  </si>
  <si>
    <t>16.00%</t>
  </si>
  <si>
    <t>jessiemurphhh06</t>
  </si>
  <si>
    <t>7131555878775473194</t>
  </si>
  <si>
    <t xml:space="preserve">#tiktokshop #foryou #good #tiktok #fypシ゚viral </t>
  </si>
  <si>
    <t>7418863648006982958</t>
  </si>
  <si>
    <t>2024/09/26 00:20:24</t>
  </si>
  <si>
    <t>sarahcarisslifestyle</t>
  </si>
  <si>
    <t>6781913676247516165</t>
  </si>
  <si>
    <t xml:space="preserve">School Dropoff Outfit of the Day #fallfashion #fallfinds #falldealsforyou #Falloutfits #momsbelike #momoutfits </t>
  </si>
  <si>
    <t>7418236306179771690</t>
  </si>
  <si>
    <t>2024/09/24 07:45:39</t>
  </si>
  <si>
    <t>yezus100</t>
  </si>
  <si>
    <t>6958575036270707718</t>
  </si>
  <si>
    <t xml:space="preserve">DIEGO LOPES WILL BE CHAMPION IN 2025 🗣️🇧🇷🔥 #fyp #foryoupage #ufc #mma #viral </t>
  </si>
  <si>
    <t>7416898757574364458</t>
  </si>
  <si>
    <t>2024/09/20 17:15:16</t>
  </si>
  <si>
    <t>1.17%</t>
  </si>
  <si>
    <t>11.70%</t>
  </si>
  <si>
    <t>faiable_vintage</t>
  </si>
  <si>
    <t>6894505190394086406</t>
  </si>
  <si>
    <t xml:space="preserve">WHAT WOULD WE DO WITHOUT OUR GREAT HOODIES?!?! 🫣😧😯GRAB YOURS NOW, DONT MISS OUT ON THESE DEALS!! 👕📣🙌 #vintagefashion #casualoutfits #tiktokshop #faiablehoodie #vintage </t>
  </si>
  <si>
    <t>7416493296433859870</t>
  </si>
  <si>
    <t>2024/09/19 15:02:02</t>
  </si>
  <si>
    <t>5.88%</t>
  </si>
  <si>
    <t>tiffers73</t>
  </si>
  <si>
    <t>6852712523934942213</t>
  </si>
  <si>
    <t xml:space="preserve">Hatant unisex quality sweet pants! Free shipping #tiktokshopdealsforyourdays #tiktokmademebuyit #tiktokshop #tiktok #shopping #sweatpants #comfysweatpants #comfyclothes #fallfashion #backtoschool #fyp #fallforyou </t>
  </si>
  <si>
    <t>7416083894874787114</t>
  </si>
  <si>
    <t>2024/09/18 12:33:14</t>
  </si>
  <si>
    <t>mardocheestud</t>
  </si>
  <si>
    <t>6962932991668798470</t>
  </si>
  <si>
    <t xml:space="preserve">Klike pou pran paw#hatant #unisex #sweetpants #jogge </t>
  </si>
  <si>
    <t>7415355019177856287</t>
  </si>
  <si>
    <t>2024/09/16 13:24:57</t>
  </si>
  <si>
    <t>sassyrebel1</t>
  </si>
  <si>
    <t>6816552343417979910</t>
  </si>
  <si>
    <t xml:space="preserve">#graysweatpants #outfitinspo #fallfashion #fashion #comfy </t>
  </si>
  <si>
    <t>7414652306542578987</t>
  </si>
  <si>
    <t>2024/09/14 15:57:53</t>
  </si>
  <si>
    <t xml:space="preserve">#pants #diy #sweatpants #bleach #doityourselfproject #style #coolpants #sewing #bleachtybw #foryou #foryoupage #add </t>
  </si>
  <si>
    <t>7412084035641511211</t>
  </si>
  <si>
    <t>2024/09/07 17:51:43</t>
  </si>
  <si>
    <t>maycewcarter</t>
  </si>
  <si>
    <t>6637274283218321413</t>
  </si>
  <si>
    <t xml:space="preserve">by far my favvvv sweatpants😍 #fall #loungewear #lounge #comfy #comfyclothes #comfyoutfits #fallfashion #cozy #cozyathome #casual </t>
  </si>
  <si>
    <t>7411596541711977770</t>
  </si>
  <si>
    <t>2024/09/06 10:20:06</t>
  </si>
  <si>
    <t>gallery.de.eve</t>
  </si>
  <si>
    <t>7322283285432992810</t>
  </si>
  <si>
    <t xml:space="preserve">dont mind my black hairdye on my door, loving this ‘ mama ‘ graphic tee + jogger matches my hair 💁🏻‍♀️ #joggerstyle #joggerseason #mamagraphictees #mamatee #mamalatina #mamaoftwo #mama #mamaoftiktok #momsoftiktok #momsover30 #momsclub #sahm #sahmoutfit #tiktokshop #tiktokshopping #tiktokshopfinds #tiktokshopfind #tiktokshopfyp #tiktokshopmademebuyit #tiktokshopfallsale #fypシ゚viral </t>
  </si>
  <si>
    <t>7411289897413119262</t>
  </si>
  <si>
    <t>2024/09/05 14:30:05</t>
  </si>
  <si>
    <t>10.00%</t>
  </si>
  <si>
    <t>drakeyiana</t>
  </si>
  <si>
    <t>6764513455359558661</t>
  </si>
  <si>
    <t xml:space="preserve">Sweats From Tik Tok Shop ⬆️⬆️ #tiktokshop #tiktokshopfinds #sweats #sweatpants #ootd #fotd #grwm #gdwm #fitcheck #calmluhfit #errands #summer #spring #fall #casual #baggy #joggers #green #HATANT #unisex #pants #cozy #fleece #lining #elastic #waistband #soft #comfortable #comfy #highquality #highqualityfabric  #convenient #pocket #pockets #fashionable #stretch #ribbed #cuffs #hem #athletic #jogger #joggerpants #outdoors #active #dnzzs </t>
  </si>
  <si>
    <t>7410834186245917995</t>
  </si>
  <si>
    <t>2024/09/04 09:01:41</t>
  </si>
  <si>
    <t>9.76%</t>
  </si>
  <si>
    <t>xojazzle</t>
  </si>
  <si>
    <t>6726689850739868677</t>
  </si>
  <si>
    <t xml:space="preserve">getting ready to go to the airport and i will never leave the house without these things #bookish #kindle #kindlepaperwhite #xojazzle </t>
  </si>
  <si>
    <t>7410524786411048238</t>
  </si>
  <si>
    <t>2024/09/03 13:01:01</t>
  </si>
  <si>
    <t>6.67%</t>
  </si>
  <si>
    <t>ayoooo_mcflyy</t>
  </si>
  <si>
    <t>7041610560679035951</t>
  </si>
  <si>
    <t>7410451875620801823</t>
  </si>
  <si>
    <t>2024/09/03 08:18:11</t>
  </si>
  <si>
    <t xml:space="preserve">Trying out @dpHUE  Come back to see how it turned out #redhead #dphue #hairtok </t>
  </si>
  <si>
    <t>7409934521832852779</t>
  </si>
  <si>
    <t>2024/09/01 22:50:35</t>
  </si>
  <si>
    <t>deanarayeeee</t>
  </si>
  <si>
    <t>1697880</t>
  </si>
  <si>
    <t xml:space="preserve">These are cozyyy #sweatpants #foryou #tiktokshop #fyp </t>
  </si>
  <si>
    <t>7409881683358469407</t>
  </si>
  <si>
    <t>2024/09/01 19:25:35</t>
  </si>
  <si>
    <t>mstwinkk</t>
  </si>
  <si>
    <t>6809085072839803910</t>
  </si>
  <si>
    <t xml:space="preserve">#creatorsearchinsights #unisex #joggers #tiktokshop #fyp #trending #viral </t>
  </si>
  <si>
    <t>7409407914445770015</t>
  </si>
  <si>
    <t>2024/08/31 12:47:09</t>
  </si>
  <si>
    <t>brooklynpaigeramey</t>
  </si>
  <si>
    <t>6916248845215745029</t>
  </si>
  <si>
    <t xml:space="preserve">#tiktokshop </t>
  </si>
  <si>
    <t>7409370439643893023</t>
  </si>
  <si>
    <t>2024/08/31 10:21:41</t>
  </si>
  <si>
    <t>desiree_rochaa</t>
  </si>
  <si>
    <t>6829063874307965958</t>
  </si>
  <si>
    <t xml:space="preserve">Yall NEED #joggers #sweats #sweatpants #fall #fallfashiontrends #fallfits #fallfinds @Faiable Fashion </t>
  </si>
  <si>
    <t>7409326052729785642</t>
  </si>
  <si>
    <t>2024/08/31 07:29:21</t>
  </si>
  <si>
    <t>franye_arg14</t>
  </si>
  <si>
    <t>6892866677605647366</t>
  </si>
  <si>
    <t xml:space="preserve">#hombres #tiktokshop #fypシ゚viral </t>
  </si>
  <si>
    <t>7409315472144895263</t>
  </si>
  <si>
    <t>2024/08/31 06:48:27</t>
  </si>
  <si>
    <t xml:space="preserve">Rainy day calls for cute and comfy #sweatpants #dnzzs #tiktokshopfinds #tiktokshopbacktoschool #fypシ゚viral #unisexfashion #unisexclothing </t>
  </si>
  <si>
    <t>7408922667258121518</t>
  </si>
  <si>
    <t>2024/08/30 05:24:01</t>
  </si>
  <si>
    <t>pablochris40</t>
  </si>
  <si>
    <t>6874045449818817542</t>
  </si>
  <si>
    <t>7408749051971128607</t>
  </si>
  <si>
    <t>2024/08/29 18:10:21</t>
  </si>
  <si>
    <t>50.00%</t>
  </si>
  <si>
    <t>100.00%</t>
  </si>
  <si>
    <t>mrsjette</t>
  </si>
  <si>
    <t>6691048437007893509</t>
  </si>
  <si>
    <t xml:space="preserve">The best softes hooddie!  #softesthoodie  #hoodieweather  #hoodieseason </t>
  </si>
  <si>
    <t>7408680184280255774</t>
  </si>
  <si>
    <t>2024/08/29 13:43:03</t>
  </si>
  <si>
    <t>the_little_amel_</t>
  </si>
  <si>
    <t>6803839533118686214</t>
  </si>
  <si>
    <t xml:space="preserve">Achte jogger pa w la nan ti panye a ☺️☺️#tiktokshop #tiktokmademebuyit #foryou #joggers </t>
  </si>
  <si>
    <t>7408633355891150123</t>
  </si>
  <si>
    <t>2024/08/29 10:41:19</t>
  </si>
  <si>
    <t>31.58%</t>
  </si>
  <si>
    <t>saint4her</t>
  </si>
  <si>
    <t>10813818</t>
  </si>
  <si>
    <t xml:space="preserve">quality is 10/10 #sweats #sweatpants #quality #hatant #foryou </t>
  </si>
  <si>
    <t>7408389214481419550</t>
  </si>
  <si>
    <t>2024/08/28 18:54:00</t>
  </si>
  <si>
    <t>maggietijeras</t>
  </si>
  <si>
    <t>256611078862733312</t>
  </si>
  <si>
    <t xml:space="preserve">#fypage #tiktok #viral #men #pants #colors </t>
  </si>
  <si>
    <t>7408374754740096286</t>
  </si>
  <si>
    <t>2024/08/28 17:57:56</t>
  </si>
  <si>
    <t>airwrecka23</t>
  </si>
  <si>
    <t>6647392227050766342</t>
  </si>
  <si>
    <t xml:space="preserve">real life .... exhausted and this hoodie is hooden #creatorsearchinsights #life #comfy #hoodie #best hoodie #viralhoodie #tiktokshop #life #fyppp #tiktokshopping #exhaustedmama #mom #momsoftiktok #hustlinmama </t>
  </si>
  <si>
    <t>7408140946933665054</t>
  </si>
  <si>
    <t>2024/08/28 02:50:39</t>
  </si>
  <si>
    <t>25.00%</t>
  </si>
  <si>
    <t>antonysrz05</t>
  </si>
  <si>
    <t>7227229802146300971</t>
  </si>
  <si>
    <t xml:space="preserve">#haul #outfit #outfitideas </t>
  </si>
  <si>
    <t>7407613258871459103</t>
  </si>
  <si>
    <t>2024/08/26 16:42:58</t>
  </si>
  <si>
    <t>pyakulimaya0</t>
  </si>
  <si>
    <t>6615294731058692102</t>
  </si>
  <si>
    <t xml:space="preserve">#fypシ゚viral #foryou #foryoupage #tiktokshop #DealsForYouDays #summersale #tiktoknepal🇳🇵 #tiktokshopbacktoschool </t>
  </si>
  <si>
    <t>7407562627326479659</t>
  </si>
  <si>
    <t>2024/08/26 13:26:22</t>
  </si>
  <si>
    <t xml:space="preserve">@DNZZS #faiablehoodie #tiktokshopbacktoschool #haul #outfit #outfitideas </t>
  </si>
  <si>
    <t>7407179453199060255</t>
  </si>
  <si>
    <t>2024/08/25 12:39:33</t>
  </si>
  <si>
    <t xml:space="preserve">@DNZZS has the BEST sweats! #dnzzs #faiablehoodie #TikTokShopBackToSchool #hatant #fypシ゚viral #fypage #sweats #sweatshirt #lounge #sweatpants #viral </t>
  </si>
  <si>
    <t>7407106210773650719</t>
  </si>
  <si>
    <t>2024/08/25 07:55:25</t>
  </si>
  <si>
    <t>becomingkaylla</t>
  </si>
  <si>
    <t>7227538369163854894</t>
  </si>
  <si>
    <t xml:space="preserve">Go getchuuuu one!! @DNZZS #dnzzs </t>
  </si>
  <si>
    <t>7407046836541869342</t>
  </si>
  <si>
    <t>2024/08/25 04:05:41</t>
  </si>
  <si>
    <t>16.67%</t>
  </si>
  <si>
    <t>rateursongs</t>
  </si>
  <si>
    <t>7239055815696630826</t>
  </si>
  <si>
    <t xml:space="preserve">its so adorable!!@DNZZS #dnzzs #faiablehoodie #tiktokshopbacktoschool </t>
  </si>
  <si>
    <t>7406857764418358574</t>
  </si>
  <si>
    <t>2024/08/24 15:51:06</t>
  </si>
  <si>
    <t>AND so many cute colors!!!! This actually might be the best hoodie</t>
  </si>
  <si>
    <t>7406611656672939306</t>
  </si>
  <si>
    <t>2024/08/24 00:06:05</t>
  </si>
  <si>
    <t>7406611656672922922</t>
  </si>
  <si>
    <t>2024/08/24 00:06:04</t>
  </si>
  <si>
    <t>7406611656672890154</t>
  </si>
  <si>
    <t>your sign to get this hoodie before fall starts!!</t>
  </si>
  <si>
    <t>7406610668994039083</t>
  </si>
  <si>
    <t>2024/08/24 00:00:21</t>
  </si>
  <si>
    <t>7406610408959675691</t>
  </si>
  <si>
    <t>7406609364787662122</t>
  </si>
  <si>
    <t>7406606391059828011</t>
  </si>
  <si>
    <t>7406606391059811627</t>
  </si>
  <si>
    <t>7406605163563158826</t>
  </si>
  <si>
    <t xml:space="preserve">#treasurefinds #tiktokshopbacktoschool </t>
  </si>
  <si>
    <t>7406592369157590314</t>
  </si>
  <si>
    <t>2024/08/23 22:41:27</t>
  </si>
  <si>
    <t>kayleecardonaa</t>
  </si>
  <si>
    <t>6764477787946550278</t>
  </si>
  <si>
    <t xml:space="preserve">Spectacular gimme 14 of em 🫡 #hoodie #sweaterweather #fallfashion #fallaesthetic </t>
  </si>
  <si>
    <t>7406120031379115294</t>
  </si>
  <si>
    <t>2024/08/22 16:08:29</t>
  </si>
  <si>
    <t>ashlee.010</t>
  </si>
  <si>
    <t>6885224694866854918</t>
  </si>
  <si>
    <t xml:space="preserve">Amazing sweater #goodquality #goodmaterial #sweaterweather #sweaterstyle #sweateroversize #sweaters </t>
  </si>
  <si>
    <t>7406087242877373727</t>
  </si>
  <si>
    <t>2024/08/22 14:01:18</t>
  </si>
  <si>
    <t>40.00%</t>
  </si>
  <si>
    <t>sexysinglemama</t>
  </si>
  <si>
    <t>7030557715575620614</t>
  </si>
  <si>
    <t xml:space="preserve">HOODIES THAT HOODIE? #menshoodies #unisexhoodies #fallfashion #quality #cottonsweatshirt #nodrawstrings #cotton #hoodiesthathoodie #hoodieseason #cottonhoodies #cottonblend #LIVEhighlights #TikTokLIVE #LIVE @DNZZS </t>
  </si>
  <si>
    <t>7405826339384626474</t>
  </si>
  <si>
    <t>2024/08/21 21:08:43</t>
  </si>
  <si>
    <t>raycash870</t>
  </si>
  <si>
    <t>7233993332708574254</t>
  </si>
  <si>
    <t xml:space="preserve">#CapCut #backtoschool #hoodie </t>
  </si>
  <si>
    <t>7405586572873043242</t>
  </si>
  <si>
    <t>2024/08/21 05:38:19</t>
  </si>
  <si>
    <t>lau.oscar</t>
  </si>
  <si>
    <t>7033939792539862022</t>
  </si>
  <si>
    <t xml:space="preserve">#sudadera #tiktokshop #carritonaranja #fyp #foryou #foryoupage #parati #paratii #paravoce #famromolopez #contenido </t>
  </si>
  <si>
    <t>7405494825522449694</t>
  </si>
  <si>
    <t>2024/08/20 23:43:11</t>
  </si>
  <si>
    <t>craziebaddie</t>
  </si>
  <si>
    <t>7065084868610704431</t>
  </si>
  <si>
    <t xml:space="preserve">This is the most comfortable hoodie that i own!!! Love it!!! #hoodie #hood #pocket #coolweather </t>
  </si>
  <si>
    <t>7405368930866449695</t>
  </si>
  <si>
    <t>2024/08/20 15:33:50</t>
  </si>
  <si>
    <t>mileahtingz</t>
  </si>
  <si>
    <t>6929729228042093574</t>
  </si>
  <si>
    <t xml:space="preserve">Hoodies Is The Definition Of Being Cozy🫶🏽 #hoodie #thickhoodie #fypシ゚viral #affordablehoodie #explore #hoodieoversize #tiktokshop </t>
  </si>
  <si>
    <t>7404966340882386222</t>
  </si>
  <si>
    <t>2024/08/19 13:31:27</t>
  </si>
  <si>
    <t>lilian_karam_x</t>
  </si>
  <si>
    <t>6775753421494862853</t>
  </si>
  <si>
    <t xml:space="preserve">@DNZZS #dnzzs #hoodie #hoodies #softfabric #softhoodie #fypage #foryoupage #tiktokshop #tiktokshopfinds #review #midsize #tryon #ootd #greyhoodie </t>
  </si>
  <si>
    <t>7404666846646963486</t>
  </si>
  <si>
    <t>2024/08/18 18:09:22</t>
  </si>
  <si>
    <t>2.56%</t>
  </si>
  <si>
    <t>christywhite3906</t>
  </si>
  <si>
    <t>6930709126047204357</t>
  </si>
  <si>
    <t xml:space="preserve">@DNZZS #hoodie #clothing #fashion #fallfashion #tts </t>
  </si>
  <si>
    <t>7404529890197998894</t>
  </si>
  <si>
    <t>2024/08/18 09:17:46</t>
  </si>
  <si>
    <t>ladycyndib</t>
  </si>
  <si>
    <t>6800831562424173573</t>
  </si>
  <si>
    <t xml:space="preserve">@DNZZS #hoodies  #hoodie  #hoodieweather  #fallseason  #sweatshirt  #sweatshirts </t>
  </si>
  <si>
    <t>7404487119286177055</t>
  </si>
  <si>
    <t>2024/08/18 06:32:09</t>
  </si>
  <si>
    <t xml:space="preserve">Im just a girl ready to rot in bed 😌 @DNZZS #kiminitodoke #romanceanime #shoujoanime #xojazzle #dnzzs #falablehoodie </t>
  </si>
  <si>
    <t>7404288432551284010</t>
  </si>
  <si>
    <t>2024/08/17 17:40:48</t>
  </si>
  <si>
    <t>4.35%</t>
  </si>
  <si>
    <t>davespamz_</t>
  </si>
  <si>
    <t>6792029132505334790</t>
  </si>
  <si>
    <t xml:space="preserve">#fyp #viral </t>
  </si>
  <si>
    <t>7404281899344071966</t>
  </si>
  <si>
    <t>2024/08/17 17:15:33</t>
  </si>
  <si>
    <t>mglinkous</t>
  </si>
  <si>
    <t>6731579774064231429</t>
  </si>
  <si>
    <t xml:space="preserve">i loveeee me an oversized hoodie #fyp #oversizedhoodie </t>
  </si>
  <si>
    <t>7404137143133572383</t>
  </si>
  <si>
    <t>2024/08/17 07:53:54</t>
  </si>
  <si>
    <t>islandgirl8787</t>
  </si>
  <si>
    <t>7071713434921894958</t>
  </si>
  <si>
    <t>#foryoupage ##TikTokMadeMeBuyIt #goodqualityproducts #tiktokshop #thebest #hoodies ##dnzzs #faiablehoodie #TikTokShopBackToSchool   @dnzzs_official</t>
  </si>
  <si>
    <t>7403937454446611743</t>
  </si>
  <si>
    <t>2024/08/16 18:58:55</t>
  </si>
  <si>
    <t>bbrieelz</t>
  </si>
  <si>
    <t>6803905809337467910</t>
  </si>
  <si>
    <t>7403792533702069535</t>
  </si>
  <si>
    <t>2024/08/16 09:36:39</t>
  </si>
  <si>
    <t>umanacristy2002</t>
  </si>
  <si>
    <t>6755924413722543109</t>
  </si>
  <si>
    <t>7403562677559119134</t>
  </si>
  <si>
    <t>2024/08/15 18:44:37</t>
  </si>
  <si>
    <t>5.17%</t>
  </si>
  <si>
    <t>k.rissee</t>
  </si>
  <si>
    <t>6610842791617626117</t>
  </si>
  <si>
    <t xml:space="preserve">Love this hoodie #hoodie#cute </t>
  </si>
  <si>
    <t>7403515669762870558</t>
  </si>
  <si>
    <t>2024/08/15 15:42:13</t>
  </si>
  <si>
    <t>bebebwang</t>
  </si>
  <si>
    <t>6792464697531614214</t>
  </si>
  <si>
    <t>7403481343943986478</t>
  </si>
  <si>
    <t>2024/08/15 13:28:53</t>
  </si>
  <si>
    <t>0.54%</t>
  </si>
  <si>
    <t>16.22%</t>
  </si>
  <si>
    <t>losgolden_</t>
  </si>
  <si>
    <t>7238636350261494830</t>
  </si>
  <si>
    <t xml:space="preserve">This Faiable hoodie from @DNZZS is perfect for the fall season and all your activities!  #tiktokshopbacktoschool #faiablehoodie #dnzzs #mensfashionwear </t>
  </si>
  <si>
    <t>7403464353229458718</t>
  </si>
  <si>
    <t>2024/08/15 12:23:01</t>
  </si>
  <si>
    <t>1.52%</t>
  </si>
  <si>
    <t>0.81%</t>
  </si>
  <si>
    <t>godsginger</t>
  </si>
  <si>
    <t>6689973970940265478</t>
  </si>
  <si>
    <t xml:space="preserve">love love LOVE #foryou #tiktokshop #forestgreen #hoodieszn #fashiontok </t>
  </si>
  <si>
    <t>7403439407723842858</t>
  </si>
  <si>
    <t>2024/08/15 10:46:10</t>
  </si>
  <si>
    <t xml:space="preserve">this or that 🤍 ft @DNZZS  - -if viewing follow @katiesarchive_ on ig - #dnzzs #faiablehoodie #tiktokshopbacktoschool #outfitinspo #falloutfits #fall #fashionstyle #fashionlook #dunks #offwhitedunks #jordan4s </t>
  </si>
  <si>
    <t>7403421307490077982</t>
  </si>
  <si>
    <t>2024/08/15 09:35:59</t>
  </si>
  <si>
    <t>12.50%</t>
  </si>
  <si>
    <t>8.33%</t>
  </si>
  <si>
    <t>jaydemorrissette</t>
  </si>
  <si>
    <t>6817217735420838918</t>
  </si>
  <si>
    <t xml:space="preserve">@DNZZS #dnzzs #faiablehoodie #TikTokShopBackToSchool #hoodie #ootd #sweatshirt #comfyclothes #outfitoftheday #runningerands #errandsoutfit </t>
  </si>
  <si>
    <t>7403414066733108510</t>
  </si>
  <si>
    <t>2024/08/15 09:07:54</t>
  </si>
  <si>
    <t>harlemraised120</t>
  </si>
  <si>
    <t>6813024920576508933</t>
  </si>
  <si>
    <t xml:space="preserve">#dnzzs #faiablehoodie #TikTokShopBackToSchool @DNZZS   #hoodieseason </t>
  </si>
  <si>
    <t>7403221141382270239</t>
  </si>
  <si>
    <t>2024/08/14 20:39:22</t>
  </si>
  <si>
    <t>If youre in search of some good quality hoodies I’ve got you!</t>
  </si>
  <si>
    <t>7403200828804189483</t>
  </si>
  <si>
    <t>2024/08/14 19:23:10</t>
  </si>
  <si>
    <t>7403200828804173099</t>
  </si>
  <si>
    <t>7403200811343465774</t>
  </si>
  <si>
    <t>akaet47</t>
  </si>
  <si>
    <t>6605057243149451270</t>
  </si>
  <si>
    <t xml:space="preserve">4th and final part 🤠 #honestreview #ttshop #wouldbuyagain #wouldntbuyagain </t>
  </si>
  <si>
    <t>7403110879153179934</t>
  </si>
  <si>
    <t>2024/08/14 13:31:27</t>
  </si>
  <si>
    <t>anthoni.ismael502</t>
  </si>
  <si>
    <t>6915885516811338757</t>
  </si>
  <si>
    <t xml:space="preserve">Respuesta a @Marcelo Hernandez </t>
  </si>
  <si>
    <t>7403100447633837354</t>
  </si>
  <si>
    <t>2024/08/14 12:50:49</t>
  </si>
  <si>
    <t>33.33%</t>
  </si>
  <si>
    <t>natepeterart</t>
  </si>
  <si>
    <t>7112889576641791018</t>
  </si>
  <si>
    <t xml:space="preserve">Its hoodie season…..this hoodie is 10/10#hoodie #tiktokshop #tiktokmademebuyit #comfortable #faiable @DNZZS #backtoschoolcheck </t>
  </si>
  <si>
    <t>7402985125224533291</t>
  </si>
  <si>
    <t>2024/08/14 05:23:21</t>
  </si>
  <si>
    <t>1.43%</t>
  </si>
  <si>
    <t>7.14%</t>
  </si>
  <si>
    <t>jadeamar</t>
  </si>
  <si>
    <t>7088665414918554670</t>
  </si>
  <si>
    <t>7402818704590834987</t>
  </si>
  <si>
    <t>2024/08/13 18:37:31</t>
  </si>
  <si>
    <t>1.05%</t>
  </si>
  <si>
    <t>12.63%</t>
  </si>
  <si>
    <t>kathleenpaige3</t>
  </si>
  <si>
    <t>6807586022873105413</t>
  </si>
  <si>
    <t xml:space="preserve">I want 10 more 🤩 #cozyathome #hoodieszn #fypシ゚viral #fall #motherhood </t>
  </si>
  <si>
    <t>7402779669289798943</t>
  </si>
  <si>
    <t>2024/08/13 16:06:07</t>
  </si>
  <si>
    <t>tiktok_rani1</t>
  </si>
  <si>
    <t>6807224791549494277</t>
  </si>
  <si>
    <t>This sweatshirt has my daughter’s name written all over it! It’s super comfy!! I’m wearing medium.  . AIABLE Soft Fleeced Fabric, Warm and Loose Fit, High-Quality Solid Color Sweatshirt with Kangaroo Pocket - Perfect for Lounging and Relaxing in Style! #sweatshirt #hoodie #comfortable #comfortablestyle #kangaroopocket #fleecedlined #fyp #tiktokshop ✨🧿</t>
  </si>
  <si>
    <t>7402777867920084266</t>
  </si>
  <si>
    <t>2024/08/13 15:59:02</t>
  </si>
  <si>
    <t>xbzyu</t>
  </si>
  <si>
    <t>6969740717531087877</t>
  </si>
  <si>
    <t xml:space="preserve">hoodies r dope #fypツ #foryou #ootd #hoodies </t>
  </si>
  <si>
    <t>7402703058259512607</t>
  </si>
  <si>
    <t>2024/08/13 11:08:58</t>
  </si>
  <si>
    <t>jazzzydragon</t>
  </si>
  <si>
    <t>6817161684139656198</t>
  </si>
  <si>
    <t xml:space="preserve">#oversizedsweater #sahmootd #winterclothes #ttshop #oversizedhoodie #hoodie </t>
  </si>
  <si>
    <t>7402699186371710251</t>
  </si>
  <si>
    <t>2024/08/13 10:53:47</t>
  </si>
  <si>
    <t>7402522152123026730</t>
  </si>
  <si>
    <t>2024/08/12 23:29:38</t>
  </si>
  <si>
    <t>7402522152123010346</t>
  </si>
  <si>
    <t>7402522152122993962</t>
  </si>
  <si>
    <t>7402522044069481774</t>
  </si>
  <si>
    <t>2024/08/12 23:29:39</t>
  </si>
  <si>
    <t>7402522044069449006</t>
  </si>
  <si>
    <t>7402521999483882795</t>
  </si>
  <si>
    <t>taylor.johnson7</t>
  </si>
  <si>
    <t>6632928865524252678</t>
  </si>
  <si>
    <t xml:space="preserve">Time to see It Ends w Us Wearing the comfiest hoodie for the movies! 🍿🎥👯‍♀️💛 #fyp #besties #dnzzs #faiablehoodie #TikTokShopBackToSchool  @DNZZS  </t>
  </si>
  <si>
    <t>7402401793361169706</t>
  </si>
  <si>
    <t>2024/08/12 15:39:43</t>
  </si>
  <si>
    <t>7402093409600605483</t>
  </si>
  <si>
    <t>2024/08/11 19:52:41</t>
  </si>
  <si>
    <t>7402092977562160426</t>
  </si>
  <si>
    <t>7402092977562144042</t>
  </si>
  <si>
    <t>7402091002401459498</t>
  </si>
  <si>
    <t>2024/08/11 19:42:59</t>
  </si>
  <si>
    <t>7402091001994612011</t>
  </si>
  <si>
    <t>2024/08/11 19:42:58</t>
  </si>
  <si>
    <t>7402089283672198443</t>
  </si>
  <si>
    <t>7402089283672182059</t>
  </si>
  <si>
    <t>cutest hoodie！</t>
  </si>
  <si>
    <t>7402072332472241450</t>
  </si>
  <si>
    <t>2024/08/11 18:39:36</t>
  </si>
  <si>
    <t>7402072332472225066</t>
  </si>
  <si>
    <t>7402072332472208682</t>
  </si>
  <si>
    <t>7402071716719119662</t>
  </si>
  <si>
    <t>7402070972649540906</t>
  </si>
  <si>
    <t>2024/08/11 18:44:36</t>
  </si>
  <si>
    <t>7402070972649491754</t>
  </si>
  <si>
    <t>This hoodie is viral for good reason, it is so cute!</t>
  </si>
  <si>
    <t>7402070594604256554</t>
  </si>
  <si>
    <t>2024/08/11 18:23:07</t>
  </si>
  <si>
    <t>7402070594604240170</t>
  </si>
  <si>
    <t>7402070583573269806</t>
  </si>
  <si>
    <t>7402070583573237038</t>
  </si>
  <si>
    <t>7402070388466896171</t>
  </si>
  <si>
    <t>teresaam01</t>
  </si>
  <si>
    <t>6804233833468003334</t>
  </si>
  <si>
    <t xml:space="preserve">#fyp #trending #foru #fallhoodie </t>
  </si>
  <si>
    <t>7401686082699545886</t>
  </si>
  <si>
    <t>2024/08/10 17:22:30</t>
  </si>
  <si>
    <t>meadow.vetor</t>
  </si>
  <si>
    <t>6582529702295011333</t>
  </si>
  <si>
    <t xml:space="preserve">@DNZZS the most perfect oversized sweatshirt everyone needs in their wardrobe #foryou #foryoupage #sweatshirt </t>
  </si>
  <si>
    <t>7401645918220553502</t>
  </si>
  <si>
    <t>2024/08/10 14:46:39</t>
  </si>
  <si>
    <t>thatssosamira</t>
  </si>
  <si>
    <t>6934816970606380037</t>
  </si>
  <si>
    <t xml:space="preserve">girlmath- no makeup on rn so my makeup later will look better #makeup #goingoutoutfit #girlhood #hoodie </t>
  </si>
  <si>
    <t>7401611167593958687</t>
  </si>
  <si>
    <t>2024/08/10 12:31:47</t>
  </si>
  <si>
    <t>3.23%</t>
  </si>
  <si>
    <t>chauncey.tweakin</t>
  </si>
  <si>
    <t>7344751306081829934</t>
  </si>
  <si>
    <t xml:space="preserve">#fyp #foryou #foryoupage #backtoschool #fashion #fypシ゚viral #ch___cey #CHAUNCEY #chauncey </t>
  </si>
  <si>
    <t>7401606066779245855</t>
  </si>
  <si>
    <t>2024/08/10 12:12:03</t>
  </si>
  <si>
    <t>6.80%</t>
  </si>
  <si>
    <t>1.94%</t>
  </si>
  <si>
    <t>Discounts are running right now!</t>
  </si>
  <si>
    <t>7401453949494005035</t>
  </si>
  <si>
    <t>2024/08/10 02:25:23</t>
  </si>
  <si>
    <t>7401453949493988651</t>
  </si>
  <si>
    <t>2024/08/10 02:25:22</t>
  </si>
  <si>
    <t>7401453949493972267</t>
  </si>
  <si>
    <t>7401453818778570026</t>
  </si>
  <si>
    <t>7401453818778553642</t>
  </si>
  <si>
    <t>7401453721722391851</t>
  </si>
  <si>
    <t>7401453721063935274</t>
  </si>
  <si>
    <t>ezraperry143</t>
  </si>
  <si>
    <t>7021623593243460614</t>
  </si>
  <si>
    <t xml:space="preserve">@DNZZS *Wardrobe staple* French Terry crew neck hoodie w/ Kangaroo pocket  Loose fit, casual, sport, athletic ideal for Fall / winter / spring  #dnzzs #faiablehoodie #wardrobe #essential #darkgreen #hoodie #grwmchallenge #backtoschool #dealsforyoudays  #summerOOTD #TikTokShopSummerSale  #TikTokShopDealsforyoudays #Summerstyle  #TikTokShopMothersDay #Ezraperry143  #ttsrunwayready #tiktokshopfashion  #Ezraperry143reviews #ezraperry143showcase #ezraperry143tiktokshop #productreview  #tiktokspringsale  #TikTokShopValentinesDay #TTSACL #TTSfashionfinds  #starfashion #TTSCreatorBash #TikTokShopHolidayDeals #sponsored #TiktokAffiliate #marketaffiliate #Tiktokfashionaffiliate #ttsrunwayready #TikTokShopSpringSale #tiktokshopfashion #lovetok  #shopWHM  #TikTokShopBacktoSchool </t>
  </si>
  <si>
    <t>7401385453816974623</t>
  </si>
  <si>
    <t>2024/08/09 21:56:03</t>
  </si>
  <si>
    <t>20.00%</t>
  </si>
  <si>
    <t>sgomez16</t>
  </si>
  <si>
    <t>6786295759991555077</t>
  </si>
  <si>
    <t xml:space="preserve">@DNZZS #dnzzs #faiablehoodie #tiktokshopbacktoschool #foryou #movienight #itendswithus #tiktok </t>
  </si>
  <si>
    <t>7401279112679099679</t>
  </si>
  <si>
    <t>2024/08/09 15:03:18</t>
  </si>
  <si>
    <t>12.90%</t>
  </si>
  <si>
    <t>naiyalise</t>
  </si>
  <si>
    <t>6990835052809798662</t>
  </si>
  <si>
    <t>7401260837832248619</t>
  </si>
  <si>
    <t>2024/08/09 13:52:11</t>
  </si>
  <si>
    <t>laurenadams_</t>
  </si>
  <si>
    <t>821482</t>
  </si>
  <si>
    <t xml:space="preserve">Could live in a good hoodie #goodhoodies #tiktokshop #fyp #comfystyle </t>
  </si>
  <si>
    <t>7401242031151942942</t>
  </si>
  <si>
    <t>2024/08/09 12:39:18</t>
  </si>
  <si>
    <t>7.69%</t>
  </si>
  <si>
    <t xml:space="preserve">@DNZZS  #dnzzs #faiablehoodie #TikTokShopBackToSchool #hoodie #fashion #mensfashion #menswear #clothing #unisexfashion #fypage #fypシ゚viral </t>
  </si>
  <si>
    <t>7401235093521501471</t>
  </si>
  <si>
    <t>2024/08/09 12:12:23</t>
  </si>
  <si>
    <t>myersl1fe</t>
  </si>
  <si>
    <t>6805012986672710662</t>
  </si>
  <si>
    <t xml:space="preserve">Speed run through some tiktok products.  #tiktokshop #glasses #speedrun #tiktokshopaffiliate </t>
  </si>
  <si>
    <t>7401185137142009134</t>
  </si>
  <si>
    <t>2024/08/09 08:58:24</t>
  </si>
  <si>
    <t>fashional12</t>
  </si>
  <si>
    <t>7246588751727756331</t>
  </si>
  <si>
    <t xml:space="preserve">#fouryou #paratii #viral #otdd @DNZZS </t>
  </si>
  <si>
    <t>7400868850641816862</t>
  </si>
  <si>
    <t>2024/08/08 12:31:09</t>
  </si>
  <si>
    <t>brayla_jones</t>
  </si>
  <si>
    <t>6812952633599624198</t>
  </si>
  <si>
    <t>7400851517592309035</t>
  </si>
  <si>
    <t>2024/08/08 11:23:47</t>
  </si>
  <si>
    <t xml:space="preserve">Fall is coming which means hoodie weather is almost here meet your new fav hoodie #TikTokCreatorSearchInsightsIncentive #favhoodie #hoodie #fallhoodie #fall #tiktokshop #tiktokshopbacktoschool ##ootd #tiktokshopfyp ###tiktokshopfashion #backtoschoolcheck #tiktokshopfinds #faiable #fleecehoodie #softhoodie @Faiable Fashion #falliscoming #falladdict </t>
  </si>
  <si>
    <t>7400653254687821087</t>
  </si>
  <si>
    <t>2024/08/07 22:34:56</t>
  </si>
  <si>
    <t>barbriana8</t>
  </si>
  <si>
    <t>7216199045399020549</t>
  </si>
  <si>
    <t xml:space="preserve">#dnzzs #faiablehoodie #TikTokShopBackToSchool@DNZZS #newcontentcreator #5minutecrafts #haitiennetiktok🇭🇹🇭🇹🇭🇹🇭🇹😍😍😍😍 </t>
  </si>
  <si>
    <t>7400648910257048862</t>
  </si>
  <si>
    <t>2024/08/07 22:17:52</t>
  </si>
  <si>
    <t>istandalone1.0</t>
  </si>
  <si>
    <t>6902616748329108486</t>
  </si>
  <si>
    <t xml:space="preserve">#dnzzs #faiablahoodie #fYp #fypシ゚viral #fypシツ♡♡♡ #wearethecookies🍪 #wildhairwhocares💥 #bloooockum🙊 @DNZZS </t>
  </si>
  <si>
    <t>7400522876639628575</t>
  </si>
  <si>
    <t>2024/08/07 14:08:42</t>
  </si>
  <si>
    <t>boujimari</t>
  </si>
  <si>
    <t>7003922548422378502</t>
  </si>
  <si>
    <t>Finally got a sweater that’ll match my channel shoes 😂❤️</t>
  </si>
  <si>
    <t>7400170443631529247</t>
  </si>
  <si>
    <t>2024/08/06 15:21:00</t>
  </si>
  <si>
    <t>7400169572260728094</t>
  </si>
  <si>
    <t>2024/08/06 15:17:39</t>
  </si>
  <si>
    <t>.alexanderham</t>
  </si>
  <si>
    <t>6595599971184640006</t>
  </si>
  <si>
    <t xml:space="preserve">@Faiable Fashion #faiable #hoodie #comfortable </t>
  </si>
  <si>
    <t>7400167863748742442</t>
  </si>
  <si>
    <t>2024/08/06 15:10:53</t>
  </si>
  <si>
    <t>4.55%</t>
  </si>
  <si>
    <t>18.18%</t>
  </si>
  <si>
    <t>weedlovah0</t>
  </si>
  <si>
    <t>7047699869805020166</t>
  </si>
  <si>
    <t xml:space="preserve">Klike nan panye a 💖#titokshop </t>
  </si>
  <si>
    <t>7400132683512155423</t>
  </si>
  <si>
    <t>2024/08/06 12:54:28</t>
  </si>
  <si>
    <t>futurefamouskera</t>
  </si>
  <si>
    <t>6744332803553248262</t>
  </si>
  <si>
    <t xml:space="preserve">Dropping part 2 once the hoodie get full👀🔥🔥🔥 @DNZZS #dnzzs #faiablehoodie </t>
  </si>
  <si>
    <t>7400114010697338154</t>
  </si>
  <si>
    <t>2024/08/06 11:41:55</t>
  </si>
  <si>
    <t>3.77%</t>
  </si>
  <si>
    <t>9.43%</t>
  </si>
  <si>
    <t>_mxko0</t>
  </si>
  <si>
    <t>7061465599479350319</t>
  </si>
  <si>
    <t xml:space="preserve">Def an oversized hoodie #fyp #foryou #hoodie #oversizedshirt </t>
  </si>
  <si>
    <t>7399990663107841322</t>
  </si>
  <si>
    <t>2024/08/06 03:43:21</t>
  </si>
  <si>
    <t>5.56%</t>
  </si>
  <si>
    <t>ellyy.ryann</t>
  </si>
  <si>
    <t>6721683412228310021</t>
  </si>
  <si>
    <t xml:space="preserve">brb ordering every color.  @DNZZS  #dnzzs #faiablehoodie #TikTokShopBackToSchool </t>
  </si>
  <si>
    <t>7399843865248697631</t>
  </si>
  <si>
    <t>2024/08/05 18:13:40</t>
  </si>
  <si>
    <t>13.58%</t>
  </si>
  <si>
    <t>omgitisk7_</t>
  </si>
  <si>
    <t>7091044017169564715</t>
  </si>
  <si>
    <t>#viral #fyp #flygirl  shopppp</t>
  </si>
  <si>
    <t>7399817760919883039</t>
  </si>
  <si>
    <t>2024/08/05 16:32:27</t>
  </si>
  <si>
    <t>22.49%</t>
  </si>
  <si>
    <t>5.46%</t>
  </si>
  <si>
    <t>daphcar99</t>
  </si>
  <si>
    <t>6697639535231206406</t>
  </si>
  <si>
    <t xml:space="preserve">#wa #faiable #soft #fleece #growth #getyoursnow #fypシ゚viral #review #summer </t>
  </si>
  <si>
    <t>7399784064800214318</t>
  </si>
  <si>
    <t>2024/08/05 14:21:35</t>
  </si>
  <si>
    <t>patriotdaddy1776</t>
  </si>
  <si>
    <t>7131324243804308526</t>
  </si>
  <si>
    <t>7399772693077249322</t>
  </si>
  <si>
    <t>2024/08/05 13:37:26</t>
  </si>
  <si>
    <t>emily.waits</t>
  </si>
  <si>
    <t>874030</t>
  </si>
  <si>
    <t xml:space="preserve">So cozy🍂🤎#tiktokshop #foryou #oversized #hoodie </t>
  </si>
  <si>
    <t>7399742256111979818</t>
  </si>
  <si>
    <t>2024/08/05 11:39:19</t>
  </si>
  <si>
    <t>mira___pradhan</t>
  </si>
  <si>
    <t>6735922577557144582</t>
  </si>
  <si>
    <t xml:space="preserve">#mirandha🇺🇸 #tiktokshop #dealforday #backtoschool2024 </t>
  </si>
  <si>
    <t>7399710109523250462</t>
  </si>
  <si>
    <t>2024/08/05 09:34:45</t>
  </si>
  <si>
    <t>lovedbylyss</t>
  </si>
  <si>
    <t>6679856858594968582</t>
  </si>
  <si>
    <t xml:space="preserve">chunky sweatshirts are a vibe #fall #falloutfit #baggysweatshirt #sweatshirt #momfinds #tiktokfashion #backtoschool #tiktokshopbacktoschool #chunkysweatshirt #boyfriendstyle #TikTokCreatorSearchInsightsIncentive #hoodie </t>
  </si>
  <si>
    <t>7399469531086933294</t>
  </si>
  <si>
    <t>2024/08/04 18:00:59</t>
  </si>
  <si>
    <t>gabriela_vip55</t>
  </si>
  <si>
    <t>7135564422890406958</t>
  </si>
  <si>
    <t>7399407387741801759</t>
  </si>
  <si>
    <t>2024/08/04 14:00:01</t>
  </si>
  <si>
    <t>7.50%</t>
  </si>
  <si>
    <t>7399405544882195742</t>
  </si>
  <si>
    <t>2024/08/04 13:52:55</t>
  </si>
  <si>
    <t>2.38%</t>
  </si>
  <si>
    <t>diamondinez._</t>
  </si>
  <si>
    <t>6647997139568902149</t>
  </si>
  <si>
    <t>7399390909953264942</t>
  </si>
  <si>
    <t>2024/08/04 12:55:57</t>
  </si>
  <si>
    <t>sarapalaciios22</t>
  </si>
  <si>
    <t>6663908694982426630</t>
  </si>
  <si>
    <t xml:space="preserve">#dnzzs #faiablehoodie #tiktokshopbacktoschool </t>
  </si>
  <si>
    <t>7399351220340657438</t>
  </si>
  <si>
    <t>2024/08/04 10:22:08</t>
  </si>
  <si>
    <t>7399292686035094830</t>
  </si>
  <si>
    <t>2024/08/04 06:34:52</t>
  </si>
  <si>
    <t>maylu_m</t>
  </si>
  <si>
    <t>6781982730051503109</t>
  </si>
  <si>
    <t xml:space="preserve">Hermoso hoddie @DNZZS #hoddie #sudadera  #ropa #ropamujer #ropaaesthetic #fashion #fashiontiktok #ttshop #tiktokbacktoschool #dnzzs </t>
  </si>
  <si>
    <t>7399099923213405470</t>
  </si>
  <si>
    <t>2024/08/03 18:06:51</t>
  </si>
  <si>
    <t>cyenus</t>
  </si>
  <si>
    <t>79069639955116033</t>
  </si>
  <si>
    <t xml:space="preserve">Available now 💗📦 #dnzzs #faiablehoodie #TikTokShopBackToSchool @DNZZS #fypage #fyp #cyen💙 #tiktoker </t>
  </si>
  <si>
    <t>7399087123481103647</t>
  </si>
  <si>
    <t>2024/08/03 17:17:13</t>
  </si>
  <si>
    <t>crumbean</t>
  </si>
  <si>
    <t>6761053363671172102</t>
  </si>
  <si>
    <t xml:space="preserve">Got a New Hoodie @DNZZS  #Hoodie #comfortable #dnzzs #faiablehoodie #TikTokShopBackToSchool </t>
  </si>
  <si>
    <t>7399066131455167786</t>
  </si>
  <si>
    <t>2024/08/03 15:55:37</t>
  </si>
  <si>
    <t>promo_pete</t>
  </si>
  <si>
    <t>7354891985209885738</t>
  </si>
  <si>
    <t xml:space="preserve">This hoodie is so comfy, don’t let these girls steal them! #hoodie #tiktokshophoodie #hoodieszn #fallfashion #fallguys #tiktokshopbacktoschool #fashion #fashiontiktok #comfyclothes #tiktokmoms #tiktokshopping </t>
  </si>
  <si>
    <t>7398954048088460574</t>
  </si>
  <si>
    <t>2024/08/03 08:40:51</t>
  </si>
  <si>
    <t>baileycapri</t>
  </si>
  <si>
    <t>6817140216961647621</t>
  </si>
  <si>
    <t xml:space="preserve">I may have a slight obsession </t>
  </si>
  <si>
    <t>7398584618812706079</t>
  </si>
  <si>
    <t>2024/08/02 08:47:12</t>
  </si>
  <si>
    <t>nancypaul132</t>
  </si>
  <si>
    <t>7181187367793083435</t>
  </si>
  <si>
    <t>#Nancypaul132 #DNZZS @DNZZS @Nancy Paul/ Team T Shop @Lenspal LLC @Valery1980 ♉ @house1160 @Clotilde92 @widly cytel ⚽🏆🥇Is the best @</t>
  </si>
  <si>
    <t>7398572277786447147</t>
  </si>
  <si>
    <t>2024/08/02 07:59:14</t>
  </si>
  <si>
    <t>sitadhu</t>
  </si>
  <si>
    <t>6518139141786457103</t>
  </si>
  <si>
    <t>FAIABLE Soft Fleeced Fabric Wa  #Ancheer  #Mooyran #speaker #Children's Day #bluetoothspeaker #tiktokshop #fyp #gift for family #gift for kids #muscial #cool #trending #parati #tiktokmakemebuyit #Zachking #zachkingillusion #tiktok #foryoupage #fyp #foryou #viral #love #funny #memes #fypage #capcut #explore #duet #fypchallenge #bellapoarch #Zachking #zachkingillusion #tiktok #foryoupage #fyp #foryou #viral #love #funny #memes #fypage #capcut #explore #duet #fypchallenge #bellapoarch #like #dovety #spinscrubber #cleaningbrush #viralvideo  #aov #and #aovflagshipstore #DealsForYourDays   #AcheerDealsForYouDays @ancheer_official</t>
  </si>
  <si>
    <t>7398387513146068266</t>
  </si>
  <si>
    <t>2024/08/01 20:02:11</t>
  </si>
  <si>
    <t>exotictey27</t>
  </si>
  <si>
    <t>6961198567910900741</t>
  </si>
  <si>
    <t xml:space="preserve">#hoodie #jacket #fy #fypage #viralvideo #fyppppppppppppppppppppppp #influencer </t>
  </si>
  <si>
    <t>7398256546519600426</t>
  </si>
  <si>
    <t>2024/08/01 11:33:59</t>
  </si>
  <si>
    <t>secondhandcurvesrachel</t>
  </si>
  <si>
    <t>6797507826954830854</t>
  </si>
  <si>
    <t xml:space="preserve">#faiable #plussizetravel #fyp #foryoupage #foryou #plussize #PlusSizeFashion #plussizeootd #plussizestyle #everythingplus #plussizeedition #plussizebodysuit #tiktokshop #shopping ##plussizeclothing </t>
  </si>
  <si>
    <t>7397651517206990110</t>
  </si>
  <si>
    <t>2024/07/30 20:26:15</t>
  </si>
  <si>
    <t>ihatemaddslol</t>
  </si>
  <si>
    <t>6539954582741586959</t>
  </si>
  <si>
    <t xml:space="preserve">@DNZZS #faiblehoodie #backtoschool #fypシ゚ </t>
  </si>
  <si>
    <t>7397556609838239006</t>
  </si>
  <si>
    <t>2024/07/30 14:18:02</t>
  </si>
  <si>
    <t>mommycay</t>
  </si>
  <si>
    <t>6807946560988464133</t>
  </si>
  <si>
    <t>Any change to wear the best oversized hoodie 🌧️ @Faiable Fashion #dnzzs #faiablehoodie #TikTokShopBackToSchool @dnzzs_official</t>
  </si>
  <si>
    <t>7397240592536784159</t>
  </si>
  <si>
    <t>2024/07/29 17:51:42</t>
  </si>
  <si>
    <t>helloicejewelry</t>
  </si>
  <si>
    <t>6917189907437945861</t>
  </si>
  <si>
    <t xml:space="preserve">Moissanite Magnetic Earrings, You will need it#helloice #moissanite #earrings </t>
  </si>
  <si>
    <t>7396479380232424746</t>
  </si>
  <si>
    <t>2024/07/27 16:37:42</t>
  </si>
  <si>
    <t>kaylee.marina</t>
  </si>
  <si>
    <t>6625343030328098822</t>
  </si>
  <si>
    <t>I can’t help it</t>
  </si>
  <si>
    <t>7392768033518849326</t>
  </si>
  <si>
    <t>2024/07/17 16:35:45</t>
  </si>
  <si>
    <t>2.09%</t>
  </si>
  <si>
    <t>14.14%</t>
  </si>
  <si>
    <t>suprownee</t>
  </si>
  <si>
    <t>6865913564394914821</t>
  </si>
  <si>
    <t>7391605939553537323</t>
  </si>
  <si>
    <t>2024/07/14 13:26:20</t>
  </si>
  <si>
    <t>5.13%</t>
  </si>
  <si>
    <t>15.38%</t>
  </si>
  <si>
    <t>kyaburke</t>
  </si>
  <si>
    <t>6712580801127711749</t>
  </si>
  <si>
    <t>cozy</t>
  </si>
  <si>
    <t>7391122506666511659</t>
  </si>
  <si>
    <t>2024/07/13 06:10:24</t>
  </si>
  <si>
    <t>8.18%</t>
  </si>
  <si>
    <t>1.82%</t>
  </si>
  <si>
    <t>beba_onfiregolosa</t>
  </si>
  <si>
    <t>6539968106033320975</t>
  </si>
  <si>
    <t>#DealsForYouDays #faiable #faiablehoodie #faiableofficial #viraltiktok #fashiontiktok #JulyDeals #colaboración #brandatiktok #viralproduct #tiktokshopsummersale #TikTokShopOfertasparatusdías #hoodie @Faiable Fashion  FAIABLE Vintage Fade Craft Dis https://www.tiktok.com/view/produc/1729439482671567205</t>
  </si>
  <si>
    <t>7390132316347174174</t>
  </si>
  <si>
    <t>2024/07/10 14:08:03</t>
  </si>
  <si>
    <t>darlincabrera61</t>
  </si>
  <si>
    <t>7175913369701614635</t>
  </si>
  <si>
    <t xml:space="preserve">FAIABLE Vintage Fade Craft Distressed Hoody Soft &amp; Warm, Oversized Heavyweight Fleeced Fabric, Unisex Long Sleeve Tops for Men Ajuste relajado lavado con lejía #tiktokshop #dealsforyoudays #tiktokshopdealsforyoudays @Hatant #faiable #faiable #faiableofficial @Faiable Fashion </t>
  </si>
  <si>
    <t>7389314724917284127</t>
  </si>
  <si>
    <t>2024/07/08 09:15:16</t>
  </si>
  <si>
    <t>7389032280779394334</t>
  </si>
  <si>
    <t>2024/07/07 14:59:19</t>
  </si>
  <si>
    <t>3.64%</t>
  </si>
  <si>
    <t>9.09%</t>
  </si>
  <si>
    <t>sellsfc</t>
  </si>
  <si>
    <t>6757862619560576006</t>
  </si>
  <si>
    <t xml:space="preserve">@Faiable Fashion UNBOXING!!! #fyp #foryou #foryoupage #fashion #style #outfit #ootd #grwm #fashiontiktok #sellsfc #CapCut #faiable #faiablehoodie #faiablevintage </t>
  </si>
  <si>
    <t>7388641675565894955</t>
  </si>
  <si>
    <t>2024/07/06 13:43:24</t>
  </si>
  <si>
    <t>marl0nd1az</t>
  </si>
  <si>
    <t>6805753158893192198</t>
  </si>
  <si>
    <t xml:space="preserve">#foryoupage #fypage #hoodie #fashion </t>
  </si>
  <si>
    <t>7388274130451270943</t>
  </si>
  <si>
    <t>2024/07/05 13:57:24</t>
  </si>
  <si>
    <t>9.50%</t>
  </si>
  <si>
    <t>2.71%</t>
  </si>
  <si>
    <t>caleb.dealz</t>
  </si>
  <si>
    <t>7354671039643059242</t>
  </si>
  <si>
    <t xml:space="preserve">The hoodie comes pre-washed and insane quality for 1/3 of lulu price… #tiktoksummersale #tiktokmademebuyit #tiktokblackfriday #summer #lulu #hoodie </t>
  </si>
  <si>
    <t>7382366190305381674</t>
  </si>
  <si>
    <t>2024/06/19 15:51:20</t>
  </si>
  <si>
    <t xml:space="preserve">Get this hoodie while its still on sale… might be the comfiest thing ive ever worn #tiktoksummersale #tiktokmademebuyit #summer #hoodie #tiktokblackfriday </t>
  </si>
  <si>
    <t>7382027312058912046</t>
  </si>
  <si>
    <t>2024/06/18 17:56:15</t>
  </si>
  <si>
    <t xml:space="preserve">Get this hoodie while its on sale… best purchase ive ever made #tiktoksummersale #tiktokmademebuyit #summer #hoodie </t>
  </si>
  <si>
    <t>7381898696578944299</t>
  </si>
  <si>
    <t>2024/06/18 09:37:11</t>
  </si>
  <si>
    <t>roscorly</t>
  </si>
  <si>
    <t>6849872840003634181</t>
  </si>
  <si>
    <t>7452662829724798250</t>
  </si>
  <si>
    <t>11.08%</t>
  </si>
  <si>
    <t>6.77%</t>
  </si>
  <si>
    <t>shelbfoster</t>
  </si>
  <si>
    <t>6727109275624621062</t>
  </si>
  <si>
    <t xml:space="preserve">This one is for all the hoodie loving friends out there. I AM OBSESSED OBSESSED with this. Such great quality and the fit is unmatched. Trust me when I say you will want this in your closet💗 #musthaves#midsize#midsizefashion#womensfashion#fashion#outfitinspo#outfitideas#winterfashion#foryoupage#fyp#viralhoodie#comfyclothes#hoodie </t>
  </si>
  <si>
    <t>7453494180879273246</t>
  </si>
  <si>
    <t>2024/12/28 08:04:24</t>
  </si>
  <si>
    <t>4.71%</t>
  </si>
  <si>
    <t>35.29%</t>
  </si>
  <si>
    <t>alexissantosss</t>
  </si>
  <si>
    <t>6727066166009365509</t>
  </si>
  <si>
    <t xml:space="preserve">and i need every single color now😍 #fyp #tiktokshop #oversizedhoodie #hoodieseason #obsessed </t>
  </si>
  <si>
    <t>7453163392795348270</t>
  </si>
  <si>
    <t>2024/12/27 10:40:35</t>
  </si>
  <si>
    <t>2.88%</t>
  </si>
  <si>
    <t>10.95%</t>
  </si>
  <si>
    <t>adventureswithangiemarie</t>
  </si>
  <si>
    <t>7056593308990440494</t>
  </si>
  <si>
    <t xml:space="preserve">TikTok shop find! #hoodies #holidayhaul #acidwashhoodie #acidwash #shelovesit </t>
  </si>
  <si>
    <t>7454069833139899678</t>
  </si>
  <si>
    <t>2024/12/29 21:18:13</t>
  </si>
  <si>
    <t>hopebaxter_</t>
  </si>
  <si>
    <t>6752688259577562118</t>
  </si>
  <si>
    <t>True story 💧 @Propel Fitness Water #propel #water #hydration #mademyyear #ttslevelup</t>
  </si>
  <si>
    <t>7455850333848390958</t>
  </si>
  <si>
    <t>2025/01/03 16:27:21</t>
  </si>
  <si>
    <t>2.33%</t>
  </si>
  <si>
    <t>True story 💧 #propel #water #hydration @Propel Fitness Water #mademyyear #ttslevelup</t>
  </si>
  <si>
    <t>7455849631214259498</t>
  </si>
  <si>
    <t>2025/01/03 16:24:40</t>
  </si>
  <si>
    <t>kristen_pnw</t>
  </si>
  <si>
    <t>6631260650545152005</t>
  </si>
  <si>
    <t xml:space="preserve">These @Faiable_Stylish hoodies are a winter must have.  They are thick enough to repel the rain a little bit. The oversized shape keeps them so comfy. And the size of the hood is AMAZING.  Run while they are on sale!!! @Faiable Fashion #faiable #faiablehoodie #midsizefriendly #midsizeinfluencer </t>
  </si>
  <si>
    <t>7455706180573302047</t>
  </si>
  <si>
    <t>2025/01/03 07:08:17</t>
  </si>
  <si>
    <t>0.55%</t>
  </si>
  <si>
    <t>0.66%</t>
  </si>
  <si>
    <t>7455190664704232747</t>
  </si>
  <si>
    <t>2025/01/01 22:05:36</t>
  </si>
  <si>
    <t>7456710817493290286</t>
  </si>
  <si>
    <t>2025/01/06 00:13:23</t>
  </si>
  <si>
    <t>0</t>
  </si>
  <si>
    <t>paxtonfarina27</t>
  </si>
  <si>
    <t>7038420306394383407</t>
  </si>
  <si>
    <t xml:space="preserve">#fypシ゚viral #jmierr #sweatpants #sweaterweather #tiktokshop #tiktokfinds #tiktokmademebuyit #transmenoftiktok🏳️‍⚧️💉 #paxxxfamxz </t>
  </si>
  <si>
    <t>7458264132094070046</t>
  </si>
  <si>
    <t>2025/01/10 04:34:32</t>
  </si>
  <si>
    <t>Oversized + acid washed hoodies &gt; available in different colors</t>
  </si>
  <si>
    <t>7457435254484176171</t>
  </si>
  <si>
    <t>2025/01/07 22:59:39</t>
  </si>
  <si>
    <t>pamelaachuchu</t>
  </si>
  <si>
    <t>7095463532289147947</t>
  </si>
  <si>
    <t>i’m obsessed w hoodies sorry</t>
  </si>
  <si>
    <t>7459816810024570142</t>
  </si>
  <si>
    <t>2025/01/14 08:59:33</t>
  </si>
  <si>
    <t xml:space="preserve">Lmk! #ttslevelup #ttsdelightnow #giftguide #tiktokshopcreatorpicks  #creatorsearchinsights  #ootd #outfitoftheday #winteroutfits </t>
  </si>
  <si>
    <t>7459585268933512494</t>
  </si>
  <si>
    <t>2025/01/13 18:00:48</t>
  </si>
  <si>
    <t xml:space="preserve">Join our live at tomorrow!! Click the button to register live👆🏻👆🏻#faiable #winterfashion #hoodie #tiktokholidayhaul #faiablehoodie #winterfit #outfitinspo </t>
  </si>
  <si>
    <t>7458744794257378590</t>
  </si>
  <si>
    <t>2025/01/11 11:39:24</t>
  </si>
  <si>
    <t xml:space="preserve">Live tomorrow! Don’t forget grab your giveaway!#faiable #winterfashion #hoodie #tiktokholidayhaul #faiablehoodie #sweatshirt #streetfashion #OOTD #grwm #joggers </t>
  </si>
  <si>
    <t>7458414488010673439</t>
  </si>
  <si>
    <t>2025/01/10 14:17:40</t>
  </si>
  <si>
    <t xml:space="preserve">Cherry 🍒 sweatshirt suit#faiable #winterfashion #hoodie #tiktokholidayhaul #faiablehoodie #sweatshirt #streetfashion #OOTD #grwm #outfitinspo #outfit </t>
  </si>
  <si>
    <t>7458411439494139166</t>
  </si>
  <si>
    <t>2025/01/10 14:05:49</t>
  </si>
  <si>
    <t>If you want a soft, oversized hoodie that’s high quality… you need this one!</t>
  </si>
  <si>
    <t>7457823675799194926</t>
  </si>
  <si>
    <t>2025/01/09 00:10:02</t>
  </si>
  <si>
    <t xml:space="preserve">If u know u know…🛍️🛍️#faiable #winterfashion #hoodie #tiktokholidayhaul #faiablehoodie #sweatshirt #streetfashion #OOTD #grwm #streetwearstyle #hoodies #perfectday #perfectdays </t>
  </si>
  <si>
    <t>7457674423005383967</t>
  </si>
  <si>
    <t>2025/01/08 14:25:48</t>
  </si>
  <si>
    <t xml:space="preserve">Do u love this Barbie Pink hoodie 💓💓#faiable #winterfashion #hoodie #tiktokholidayhaul #faiablehoodie #sweatshirt #streetfashion #OOTD #grwm #streetwearstyle #hoodies #perfectday #perfectdays </t>
  </si>
  <si>
    <t>7457674123431447839</t>
  </si>
  <si>
    <t>2025/01/08 14:24:41</t>
  </si>
  <si>
    <t>my most worn sweatshirt by far!! perfectly soft &amp; oversized!</t>
  </si>
  <si>
    <t>7457469542252432683</t>
  </si>
  <si>
    <t>2025/01/08 01:13:12</t>
  </si>
  <si>
    <t xml:space="preserve">i’m so obsessed w this red #hoodie #tiktokshop </t>
  </si>
  <si>
    <t>7466126893583224110</t>
  </si>
  <si>
    <t>kavefin98.2</t>
  </si>
  <si>
    <t>7359583122780980270</t>
  </si>
  <si>
    <t xml:space="preserve">#EnergiKuatTiapLangkah </t>
  </si>
  <si>
    <t>7467859672939253023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</si>
</sst>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xf numFmtId="0" fontId="0" fillId="0" borderId="0" xfId="0" applyFont="1" applyFill="1" applyAlignment="1"/>
    <xf numFmtId="0" fontId="0" fillId="2" borderId="0" xfId="0" applyFill="1"/>
    <xf numFmtId="0" fontId="1" fillId="0" borderId="0" xfId="0" applyFont="1"/>
    <xf numFmtId="0" fontId="0" fillId="2" borderId="0" xfId="0" applyFont="1" applyFill="1"/>
    <xf numFmtId="0" fontId="0" fillId="0" borderId="0" xfId="0" applyFont="1"/>
    <xf numFmtId="0" fontId="0" fillId="0" borderId="0" xfId="0" applyFont="1" applyAlignment="1">
      <alignment wrapText="1"/>
    </xf>
    <xf numFmtId="22" fontId="0" fillId="0" borderId="0" xfId="0" applyNumberFormat="1" applyFont="1" applyFill="1" applyAlignment="1"/>
    <xf numFmtId="10" fontId="0" fillId="0" borderId="0" xfId="0" applyNumberFormat="1" applyFont="1" applyFill="1" applyAlignment="1"/>
    <xf numFmtId="14"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1"/>
  <sheetViews>
    <sheetView tabSelected="1" topLeftCell="A206" workbookViewId="0">
      <selection activeCell="AA245" sqref="AA245"/>
    </sheetView>
  </sheetViews>
  <sheetFormatPr defaultColWidth="9" defaultRowHeight="20" customHeight="1"/>
  <cols>
    <col min="1" max="1" width="9" style="1"/>
    <col min="2" max="2" width="39.9765625" style="1" customWidth="1"/>
    <col min="3" max="4" width="9" style="1"/>
    <col min="5" max="5" width="21.7109375" style="1" customWidth="1"/>
    <col min="6" max="24" width="9" style="1"/>
    <col min="25" max="25" width="21.359375" style="2" customWidth="1"/>
    <col min="26" max="26" width="11.09375" customWidth="1"/>
    <col min="27" max="27" width="41.359375" customWidth="1"/>
  </cols>
  <sheetData>
    <row r="1" customFormat="1" customHeight="1" spans="1:27">
      <c r="A1" s="1" t="s">
        <v>0</v>
      </c>
      <c r="B1" s="1"/>
      <c r="C1" s="1"/>
      <c r="D1" s="1"/>
      <c r="E1" s="1"/>
      <c r="F1" s="1"/>
      <c r="G1" s="1"/>
      <c r="H1" s="1"/>
      <c r="I1" s="1"/>
      <c r="J1" s="1"/>
      <c r="K1" s="1"/>
      <c r="L1" s="1"/>
      <c r="M1" s="1"/>
      <c r="N1" s="1"/>
      <c r="O1" s="1"/>
      <c r="P1" s="1"/>
      <c r="Q1" s="1"/>
      <c r="R1" s="1"/>
      <c r="S1" s="1"/>
      <c r="T1" s="1"/>
      <c r="U1" s="1"/>
      <c r="V1" s="1"/>
      <c r="W1" s="1"/>
      <c r="X1" s="1"/>
      <c r="Y1" s="2"/>
    </row>
    <row r="3" customHeight="1" spans="1:27">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2" t="s">
        <v>25</v>
      </c>
      <c r="Z3" s="3" t="s">
        <v>26</v>
      </c>
      <c r="AA3" s="3" t="s">
        <v>27</v>
      </c>
    </row>
    <row r="4" customHeight="1" spans="1:27">
      <c r="A4" s="1" t="s">
        <v>28</v>
      </c>
      <c r="B4" s="1" t="s">
        <v>29</v>
      </c>
      <c r="C4" s="1" t="s">
        <v>30</v>
      </c>
      <c r="D4" s="1" t="s">
        <v>31</v>
      </c>
      <c r="E4" s="1" t="s">
        <v>32</v>
      </c>
      <c r="F4" s="1" t="s">
        <v>33</v>
      </c>
      <c r="G4" s="1">
        <v>2736</v>
      </c>
      <c r="H4" s="1">
        <v>24</v>
      </c>
      <c r="I4" s="1">
        <v>2</v>
      </c>
      <c r="J4" s="1">
        <v>1</v>
      </c>
      <c r="K4" s="1">
        <v>1</v>
      </c>
      <c r="L4" s="1">
        <v>0</v>
      </c>
      <c r="M4" s="1">
        <v>3479</v>
      </c>
      <c r="N4" s="1">
        <v>185</v>
      </c>
      <c r="O4" s="1">
        <v>6</v>
      </c>
      <c r="P4" s="1">
        <v>6</v>
      </c>
      <c r="Q4" s="1">
        <v>6</v>
      </c>
      <c r="R4" s="1">
        <v>269.49</v>
      </c>
      <c r="S4" s="1">
        <v>98.5</v>
      </c>
      <c r="T4" s="1">
        <v>359.76</v>
      </c>
      <c r="U4" s="1" t="s">
        <v>34</v>
      </c>
      <c r="V4" s="1" t="s">
        <v>35</v>
      </c>
      <c r="W4" s="1" t="s">
        <v>36</v>
      </c>
      <c r="X4" s="1" t="s">
        <v>37</v>
      </c>
      <c r="Y4" s="4" t="str">
        <f>IFERROR(VLOOKUP(F:F,#REF!,2,0),"需要手动检查")</f>
        <v>需要手动检查</v>
      </c>
      <c r="Z4" s="5" t="str">
        <f>IF(R4&gt;0,"是","否")</f>
        <v>是</v>
      </c>
      <c r="AA4" s="6" t="s">
        <v>38</v>
      </c>
    </row>
    <row r="5" customHeight="1" spans="1:27">
      <c r="A5" s="1" t="s">
        <v>39</v>
      </c>
      <c r="B5" s="1" t="s">
        <v>40</v>
      </c>
      <c r="C5" s="1" t="s">
        <v>41</v>
      </c>
      <c r="D5" s="1" t="s">
        <v>42</v>
      </c>
      <c r="E5" s="1" t="s">
        <v>43</v>
      </c>
      <c r="F5" s="1" t="s">
        <v>44</v>
      </c>
      <c r="G5" s="1">
        <v>3876</v>
      </c>
      <c r="H5" s="1">
        <v>17</v>
      </c>
      <c r="I5" s="1">
        <v>0</v>
      </c>
      <c r="J5" s="1">
        <v>1</v>
      </c>
      <c r="K5" s="1">
        <v>0</v>
      </c>
      <c r="L5" s="1">
        <v>0</v>
      </c>
      <c r="M5" s="1">
        <v>4982</v>
      </c>
      <c r="N5" s="1">
        <v>180</v>
      </c>
      <c r="O5" s="1">
        <v>3</v>
      </c>
      <c r="P5" s="1">
        <v>4</v>
      </c>
      <c r="Q5" s="1">
        <v>4</v>
      </c>
      <c r="R5" s="1">
        <v>161.03</v>
      </c>
      <c r="S5" s="1">
        <v>41.55</v>
      </c>
      <c r="T5" s="1">
        <v>246.64</v>
      </c>
      <c r="U5" s="1" t="s">
        <v>45</v>
      </c>
      <c r="V5" s="1" t="s">
        <v>35</v>
      </c>
      <c r="W5" s="1" t="s">
        <v>46</v>
      </c>
      <c r="X5" s="1" t="s">
        <v>47</v>
      </c>
      <c r="Y5" s="4" t="str">
        <f>IFERROR(VLOOKUP(F:F,#REF!,2,0),"需要手动检查")</f>
        <v>需要手动检查</v>
      </c>
      <c r="Z5" s="5" t="str">
        <f t="shared" ref="Z5:Z68" si="0">IF(R5&gt;0,"是","否")</f>
        <v>是</v>
      </c>
      <c r="AA5" s="6" t="s">
        <v>48</v>
      </c>
    </row>
    <row r="6" customHeight="1" spans="1:27">
      <c r="A6" s="1" t="s">
        <v>49</v>
      </c>
      <c r="B6" s="1" t="s">
        <v>50</v>
      </c>
      <c r="C6" s="1" t="s">
        <v>51</v>
      </c>
      <c r="D6" s="1" t="s">
        <v>52</v>
      </c>
      <c r="E6" s="1" t="s">
        <v>53</v>
      </c>
      <c r="F6" s="1" t="s">
        <v>54</v>
      </c>
      <c r="G6" s="1">
        <v>7764</v>
      </c>
      <c r="H6" s="1">
        <v>593</v>
      </c>
      <c r="I6" s="1">
        <v>6</v>
      </c>
      <c r="J6" s="1">
        <v>8</v>
      </c>
      <c r="K6" s="1">
        <v>14</v>
      </c>
      <c r="L6" s="1">
        <v>0</v>
      </c>
      <c r="M6" s="1">
        <v>8945</v>
      </c>
      <c r="N6" s="1">
        <v>1314</v>
      </c>
      <c r="O6" s="1">
        <v>2</v>
      </c>
      <c r="P6" s="1">
        <v>2</v>
      </c>
      <c r="Q6" s="1">
        <v>2</v>
      </c>
      <c r="R6" s="1">
        <v>91.97</v>
      </c>
      <c r="S6" s="1">
        <v>11.85</v>
      </c>
      <c r="T6" s="1">
        <v>252.92</v>
      </c>
      <c r="U6" s="1" t="s">
        <v>55</v>
      </c>
      <c r="V6" s="1" t="s">
        <v>35</v>
      </c>
      <c r="W6" s="1" t="s">
        <v>56</v>
      </c>
      <c r="X6" s="1" t="s">
        <v>57</v>
      </c>
      <c r="Y6" s="4" t="str">
        <f>IFERROR(VLOOKUP(F:F,#REF!,2,0),"需要手动检查")</f>
        <v>需要手动检查</v>
      </c>
      <c r="Z6" s="5" t="str">
        <f t="shared" si="0"/>
        <v>是</v>
      </c>
      <c r="AA6" s="6" t="s">
        <v>38</v>
      </c>
    </row>
    <row r="7" customHeight="1" spans="1:27">
      <c r="A7" s="1" t="s">
        <v>58</v>
      </c>
      <c r="B7" s="1" t="s">
        <v>59</v>
      </c>
      <c r="C7" s="1" t="s">
        <v>60</v>
      </c>
      <c r="D7" s="1" t="s">
        <v>61</v>
      </c>
      <c r="E7" s="1" t="s">
        <v>62</v>
      </c>
      <c r="F7" s="1" t="s">
        <v>54</v>
      </c>
      <c r="G7" s="1">
        <v>5981</v>
      </c>
      <c r="H7" s="1">
        <v>96</v>
      </c>
      <c r="I7" s="1">
        <v>1</v>
      </c>
      <c r="J7" s="1">
        <v>4</v>
      </c>
      <c r="K7" s="1">
        <v>0</v>
      </c>
      <c r="L7" s="1">
        <v>0</v>
      </c>
      <c r="M7" s="1">
        <v>6612</v>
      </c>
      <c r="N7" s="1">
        <v>451</v>
      </c>
      <c r="O7" s="1">
        <v>2</v>
      </c>
      <c r="P7" s="1">
        <v>3</v>
      </c>
      <c r="Q7" s="1">
        <v>3</v>
      </c>
      <c r="R7" s="1">
        <v>91.96</v>
      </c>
      <c r="S7" s="1">
        <v>15.38</v>
      </c>
      <c r="T7" s="1">
        <v>137.95</v>
      </c>
      <c r="U7" s="1" t="s">
        <v>63</v>
      </c>
      <c r="V7" s="1" t="s">
        <v>35</v>
      </c>
      <c r="W7" s="1" t="s">
        <v>64</v>
      </c>
      <c r="X7" s="1" t="s">
        <v>65</v>
      </c>
      <c r="Y7" s="4" t="str">
        <f>IFERROR(VLOOKUP(F:F,#REF!,2,0),"需要手动检查")</f>
        <v>需要手动检查</v>
      </c>
      <c r="Z7" s="5" t="str">
        <f t="shared" si="0"/>
        <v>是</v>
      </c>
      <c r="AA7" s="6" t="s">
        <v>48</v>
      </c>
    </row>
    <row r="8" customHeight="1" spans="1:27">
      <c r="A8" s="1" t="s">
        <v>66</v>
      </c>
      <c r="B8" s="1" t="s">
        <v>67</v>
      </c>
      <c r="C8" s="1" t="s">
        <v>68</v>
      </c>
      <c r="D8" s="1" t="s">
        <v>69</v>
      </c>
      <c r="E8" s="1" t="s">
        <v>70</v>
      </c>
      <c r="F8" s="1" t="s">
        <v>71</v>
      </c>
      <c r="G8" s="1">
        <v>0</v>
      </c>
      <c r="H8" s="1">
        <v>0</v>
      </c>
      <c r="I8" s="1">
        <v>0</v>
      </c>
      <c r="J8" s="1">
        <v>0</v>
      </c>
      <c r="K8" s="1">
        <v>0</v>
      </c>
      <c r="L8" s="1">
        <v>0</v>
      </c>
      <c r="M8" s="1">
        <v>0</v>
      </c>
      <c r="N8" s="1">
        <v>0</v>
      </c>
      <c r="O8" s="1">
        <v>1</v>
      </c>
      <c r="P8" s="1">
        <v>1</v>
      </c>
      <c r="Q8" s="1">
        <v>1</v>
      </c>
      <c r="R8" s="1">
        <v>45.99</v>
      </c>
      <c r="S8" s="1">
        <v>0</v>
      </c>
      <c r="T8" s="1">
        <v>45.99</v>
      </c>
      <c r="U8" s="1" t="s">
        <v>35</v>
      </c>
      <c r="V8" s="1" t="s">
        <v>35</v>
      </c>
      <c r="W8" s="1" t="s">
        <v>35</v>
      </c>
      <c r="X8" s="1" t="s">
        <v>35</v>
      </c>
      <c r="Y8" s="4" t="str">
        <f>IFERROR(VLOOKUP(F:F,#REF!,2,0),"需要手动检查")</f>
        <v>需要手动检查</v>
      </c>
      <c r="Z8" s="5" t="str">
        <f t="shared" si="0"/>
        <v>是</v>
      </c>
      <c r="AA8" s="6" t="s">
        <v>38</v>
      </c>
    </row>
    <row r="9" customHeight="1" spans="1:27">
      <c r="A9" s="1" t="s">
        <v>72</v>
      </c>
      <c r="B9" s="1" t="s">
        <v>73</v>
      </c>
      <c r="C9" s="1" t="s">
        <v>74</v>
      </c>
      <c r="D9" s="1" t="s">
        <v>75</v>
      </c>
      <c r="E9" s="1" t="s">
        <v>76</v>
      </c>
      <c r="F9" s="1" t="s">
        <v>77</v>
      </c>
      <c r="G9" s="1">
        <v>228</v>
      </c>
      <c r="H9" s="1">
        <v>1</v>
      </c>
      <c r="I9" s="1">
        <v>0</v>
      </c>
      <c r="J9" s="1">
        <v>0</v>
      </c>
      <c r="K9" s="1">
        <v>0</v>
      </c>
      <c r="L9" s="1">
        <v>0</v>
      </c>
      <c r="M9" s="1">
        <v>263</v>
      </c>
      <c r="N9" s="1">
        <v>26</v>
      </c>
      <c r="O9" s="1">
        <v>1</v>
      </c>
      <c r="P9" s="1">
        <v>1</v>
      </c>
      <c r="Q9" s="1">
        <v>1</v>
      </c>
      <c r="R9" s="1">
        <v>45.99</v>
      </c>
      <c r="S9" s="1">
        <v>201.71</v>
      </c>
      <c r="T9" s="1">
        <v>45.99</v>
      </c>
      <c r="U9" s="1" t="s">
        <v>78</v>
      </c>
      <c r="V9" s="1" t="s">
        <v>35</v>
      </c>
      <c r="W9" s="1" t="s">
        <v>79</v>
      </c>
      <c r="X9" s="1" t="s">
        <v>80</v>
      </c>
      <c r="Y9" s="4" t="str">
        <f>IFERROR(VLOOKUP(F:F,#REF!,2,0),"需要手动检查")</f>
        <v>需要手动检查</v>
      </c>
      <c r="Z9" s="5" t="str">
        <f t="shared" si="0"/>
        <v>是</v>
      </c>
      <c r="AA9" s="6" t="s">
        <v>48</v>
      </c>
    </row>
    <row r="10" customHeight="1" spans="1:27">
      <c r="A10" s="1" t="s">
        <v>81</v>
      </c>
      <c r="B10" s="1" t="s">
        <v>82</v>
      </c>
      <c r="C10" s="1" t="s">
        <v>83</v>
      </c>
      <c r="D10" s="1" t="s">
        <v>84</v>
      </c>
      <c r="E10" s="1" t="s">
        <v>85</v>
      </c>
      <c r="F10" s="1" t="s">
        <v>71</v>
      </c>
      <c r="G10" s="1">
        <v>0</v>
      </c>
      <c r="H10" s="1">
        <v>0</v>
      </c>
      <c r="I10" s="1">
        <v>0</v>
      </c>
      <c r="J10" s="1">
        <v>0</v>
      </c>
      <c r="K10" s="1">
        <v>0</v>
      </c>
      <c r="L10" s="1">
        <v>0</v>
      </c>
      <c r="M10" s="1">
        <v>0</v>
      </c>
      <c r="N10" s="1">
        <v>0</v>
      </c>
      <c r="O10" s="1">
        <v>1</v>
      </c>
      <c r="P10" s="1">
        <v>1</v>
      </c>
      <c r="Q10" s="1">
        <v>1</v>
      </c>
      <c r="R10" s="1">
        <v>32.19</v>
      </c>
      <c r="S10" s="1">
        <v>0</v>
      </c>
      <c r="T10" s="1">
        <v>32.19</v>
      </c>
      <c r="U10" s="1" t="s">
        <v>35</v>
      </c>
      <c r="V10" s="1" t="s">
        <v>35</v>
      </c>
      <c r="W10" s="1" t="s">
        <v>35</v>
      </c>
      <c r="X10" s="1" t="s">
        <v>35</v>
      </c>
      <c r="Y10" s="4" t="str">
        <f>IFERROR(VLOOKUP(F:F,#REF!,2,0),"需要手动检查")</f>
        <v>需要手动检查</v>
      </c>
      <c r="Z10" s="5" t="str">
        <f t="shared" si="0"/>
        <v>是</v>
      </c>
      <c r="AA10" s="6" t="s">
        <v>38</v>
      </c>
    </row>
    <row r="11" customHeight="1" spans="1:27">
      <c r="A11" s="1" t="s">
        <v>86</v>
      </c>
      <c r="B11" s="1" t="s">
        <v>87</v>
      </c>
      <c r="C11" s="1" t="s">
        <v>88</v>
      </c>
      <c r="D11" s="1" t="s">
        <v>89</v>
      </c>
      <c r="E11" s="1" t="s">
        <v>90</v>
      </c>
      <c r="F11" s="1" t="s">
        <v>71</v>
      </c>
      <c r="G11" s="1">
        <v>0</v>
      </c>
      <c r="H11" s="1">
        <v>0</v>
      </c>
      <c r="I11" s="1">
        <v>0</v>
      </c>
      <c r="J11" s="1">
        <v>0</v>
      </c>
      <c r="K11" s="1">
        <v>0</v>
      </c>
      <c r="L11" s="1">
        <v>0</v>
      </c>
      <c r="M11" s="1">
        <v>0</v>
      </c>
      <c r="N11" s="1">
        <v>0</v>
      </c>
      <c r="O11" s="1">
        <v>1</v>
      </c>
      <c r="P11" s="1">
        <v>1</v>
      </c>
      <c r="Q11" s="1">
        <v>1</v>
      </c>
      <c r="R11" s="1">
        <v>32.18</v>
      </c>
      <c r="S11" s="1">
        <v>0</v>
      </c>
      <c r="T11" s="1">
        <v>32.18</v>
      </c>
      <c r="U11" s="1" t="s">
        <v>35</v>
      </c>
      <c r="V11" s="1" t="s">
        <v>35</v>
      </c>
      <c r="W11" s="1" t="s">
        <v>35</v>
      </c>
      <c r="X11" s="1" t="s">
        <v>35</v>
      </c>
      <c r="Y11" s="4" t="str">
        <f>IFERROR(VLOOKUP(F:F,#REF!,2,0),"需要手动检查")</f>
        <v>需要手动检查</v>
      </c>
      <c r="Z11" s="5" t="str">
        <f t="shared" si="0"/>
        <v>是</v>
      </c>
      <c r="AA11" s="6" t="s">
        <v>48</v>
      </c>
    </row>
    <row r="12" customHeight="1" spans="1:27">
      <c r="A12" s="1" t="s">
        <v>58</v>
      </c>
      <c r="B12" s="1" t="s">
        <v>59</v>
      </c>
      <c r="C12" s="1" t="s">
        <v>91</v>
      </c>
      <c r="D12" s="1" t="s">
        <v>92</v>
      </c>
      <c r="E12" s="1" t="s">
        <v>93</v>
      </c>
      <c r="F12" s="1" t="s">
        <v>54</v>
      </c>
      <c r="G12" s="1">
        <v>902</v>
      </c>
      <c r="H12" s="1">
        <v>37</v>
      </c>
      <c r="I12" s="1">
        <v>3</v>
      </c>
      <c r="J12" s="1">
        <v>1</v>
      </c>
      <c r="K12" s="1">
        <v>1</v>
      </c>
      <c r="L12" s="1">
        <v>0</v>
      </c>
      <c r="M12" s="1">
        <v>912</v>
      </c>
      <c r="N12" s="1">
        <v>16</v>
      </c>
      <c r="O12" s="1">
        <v>0</v>
      </c>
      <c r="P12" s="1">
        <v>0</v>
      </c>
      <c r="Q12" s="1">
        <v>0</v>
      </c>
      <c r="R12" s="1">
        <v>0</v>
      </c>
      <c r="S12" s="1">
        <v>0</v>
      </c>
      <c r="T12" s="1">
        <v>0</v>
      </c>
      <c r="U12" s="1" t="s">
        <v>94</v>
      </c>
      <c r="V12" s="1" t="s">
        <v>35</v>
      </c>
      <c r="W12" s="1" t="s">
        <v>95</v>
      </c>
      <c r="X12" s="1" t="s">
        <v>35</v>
      </c>
      <c r="Y12" s="4" t="str">
        <f>IFERROR(VLOOKUP(F:F,#REF!,2,0),"需要手动检查")</f>
        <v>需要手动检查</v>
      </c>
      <c r="Z12" s="5" t="str">
        <f t="shared" si="0"/>
        <v>否</v>
      </c>
      <c r="AA12" s="6" t="s">
        <v>38</v>
      </c>
    </row>
    <row r="13" customHeight="1" spans="1:27">
      <c r="A13" s="1" t="s">
        <v>96</v>
      </c>
      <c r="B13" s="1" t="s">
        <v>97</v>
      </c>
      <c r="C13" s="1" t="s">
        <v>98</v>
      </c>
      <c r="D13" s="1" t="s">
        <v>99</v>
      </c>
      <c r="E13" s="1" t="s">
        <v>100</v>
      </c>
      <c r="F13" s="1" t="s">
        <v>44</v>
      </c>
      <c r="G13" s="1">
        <v>776</v>
      </c>
      <c r="H13" s="1">
        <v>38</v>
      </c>
      <c r="I13" s="1">
        <v>0</v>
      </c>
      <c r="J13" s="1">
        <v>0</v>
      </c>
      <c r="K13" s="1">
        <v>0</v>
      </c>
      <c r="L13" s="1">
        <v>0</v>
      </c>
      <c r="M13" s="1">
        <v>863</v>
      </c>
      <c r="N13" s="1">
        <v>31</v>
      </c>
      <c r="O13" s="1">
        <v>0</v>
      </c>
      <c r="P13" s="1">
        <v>0</v>
      </c>
      <c r="Q13" s="1">
        <v>0</v>
      </c>
      <c r="R13" s="1">
        <v>0</v>
      </c>
      <c r="S13" s="1">
        <v>0</v>
      </c>
      <c r="T13" s="1">
        <v>0</v>
      </c>
      <c r="U13" s="1" t="s">
        <v>101</v>
      </c>
      <c r="V13" s="1" t="s">
        <v>35</v>
      </c>
      <c r="W13" s="1" t="s">
        <v>102</v>
      </c>
      <c r="X13" s="1" t="s">
        <v>35</v>
      </c>
      <c r="Y13" s="4" t="str">
        <f>IFERROR(VLOOKUP(F:F,#REF!,2,0),"需要手动检查")</f>
        <v>需要手动检查</v>
      </c>
      <c r="Z13" s="5" t="str">
        <f t="shared" si="0"/>
        <v>否</v>
      </c>
      <c r="AA13" s="6" t="s">
        <v>48</v>
      </c>
    </row>
    <row r="14" customHeight="1" spans="1:27">
      <c r="A14" s="1" t="s">
        <v>103</v>
      </c>
      <c r="B14" s="1" t="s">
        <v>104</v>
      </c>
      <c r="C14" s="1" t="s">
        <v>71</v>
      </c>
      <c r="D14" s="1" t="s">
        <v>105</v>
      </c>
      <c r="E14" s="1" t="s">
        <v>106</v>
      </c>
      <c r="F14" s="1" t="s">
        <v>44</v>
      </c>
      <c r="G14" s="1">
        <v>1282</v>
      </c>
      <c r="H14" s="1">
        <v>59</v>
      </c>
      <c r="I14" s="1">
        <v>4</v>
      </c>
      <c r="J14" s="1">
        <v>5</v>
      </c>
      <c r="K14" s="1">
        <v>0</v>
      </c>
      <c r="L14" s="1">
        <v>1</v>
      </c>
      <c r="M14" s="1">
        <v>1342</v>
      </c>
      <c r="N14" s="1">
        <v>40</v>
      </c>
      <c r="O14" s="1">
        <v>0</v>
      </c>
      <c r="P14" s="1">
        <v>0</v>
      </c>
      <c r="Q14" s="1">
        <v>0</v>
      </c>
      <c r="R14" s="1">
        <v>0</v>
      </c>
      <c r="S14" s="1">
        <v>0</v>
      </c>
      <c r="T14" s="1">
        <v>0</v>
      </c>
      <c r="U14" s="1" t="s">
        <v>107</v>
      </c>
      <c r="V14" s="1" t="s">
        <v>108</v>
      </c>
      <c r="W14" s="1" t="s">
        <v>109</v>
      </c>
      <c r="X14" s="1" t="s">
        <v>35</v>
      </c>
      <c r="Y14" s="4" t="str">
        <f>IFERROR(VLOOKUP(F:F,#REF!,2,0),"需要手动检查")</f>
        <v>需要手动检查</v>
      </c>
      <c r="Z14" s="5" t="str">
        <f t="shared" si="0"/>
        <v>否</v>
      </c>
      <c r="AA14" s="6" t="s">
        <v>38</v>
      </c>
    </row>
    <row r="15" customHeight="1" spans="1:27">
      <c r="A15" s="1" t="s">
        <v>110</v>
      </c>
      <c r="B15" s="1" t="s">
        <v>111</v>
      </c>
      <c r="C15" s="1" t="s">
        <v>112</v>
      </c>
      <c r="D15" s="1" t="s">
        <v>113</v>
      </c>
      <c r="E15" s="1" t="s">
        <v>114</v>
      </c>
      <c r="F15" s="1" t="s">
        <v>71</v>
      </c>
      <c r="G15" s="1">
        <v>0</v>
      </c>
      <c r="H15" s="1">
        <v>0</v>
      </c>
      <c r="I15" s="1">
        <v>0</v>
      </c>
      <c r="J15" s="1">
        <v>0</v>
      </c>
      <c r="K15" s="1">
        <v>0</v>
      </c>
      <c r="L15" s="1">
        <v>0</v>
      </c>
      <c r="M15" s="1">
        <v>1000</v>
      </c>
      <c r="N15" s="1">
        <v>28</v>
      </c>
      <c r="O15" s="1">
        <v>0</v>
      </c>
      <c r="P15" s="1">
        <v>0</v>
      </c>
      <c r="Q15" s="1">
        <v>0</v>
      </c>
      <c r="R15" s="1">
        <v>0</v>
      </c>
      <c r="S15" s="1">
        <v>0</v>
      </c>
      <c r="T15" s="1">
        <v>0</v>
      </c>
      <c r="U15" s="1" t="s">
        <v>35</v>
      </c>
      <c r="V15" s="1" t="s">
        <v>35</v>
      </c>
      <c r="W15" s="1" t="s">
        <v>35</v>
      </c>
      <c r="X15" s="1" t="s">
        <v>35</v>
      </c>
      <c r="Y15" s="4" t="str">
        <f>IFERROR(VLOOKUP(F:F,#REF!,2,0),"需要手动检查")</f>
        <v>需要手动检查</v>
      </c>
      <c r="Z15" s="5" t="str">
        <f t="shared" si="0"/>
        <v>否</v>
      </c>
      <c r="AA15" s="6" t="s">
        <v>48</v>
      </c>
    </row>
    <row r="16" customHeight="1" spans="1:27">
      <c r="A16" s="1" t="s">
        <v>110</v>
      </c>
      <c r="B16" s="1" t="s">
        <v>111</v>
      </c>
      <c r="C16" s="1" t="s">
        <v>112</v>
      </c>
      <c r="D16" s="1" t="s">
        <v>115</v>
      </c>
      <c r="E16" s="1" t="s">
        <v>116</v>
      </c>
      <c r="F16" s="1" t="s">
        <v>71</v>
      </c>
      <c r="G16" s="1">
        <v>0</v>
      </c>
      <c r="H16" s="1">
        <v>0</v>
      </c>
      <c r="I16" s="1">
        <v>0</v>
      </c>
      <c r="J16" s="1">
        <v>0</v>
      </c>
      <c r="K16" s="1">
        <v>0</v>
      </c>
      <c r="L16" s="1">
        <v>0</v>
      </c>
      <c r="M16" s="1">
        <v>120</v>
      </c>
      <c r="N16" s="1">
        <v>5</v>
      </c>
      <c r="O16" s="1">
        <v>0</v>
      </c>
      <c r="P16" s="1">
        <v>0</v>
      </c>
      <c r="Q16" s="1">
        <v>0</v>
      </c>
      <c r="R16" s="1">
        <v>0</v>
      </c>
      <c r="S16" s="1">
        <v>0</v>
      </c>
      <c r="T16" s="1">
        <v>0</v>
      </c>
      <c r="U16" s="1" t="s">
        <v>35</v>
      </c>
      <c r="V16" s="1" t="s">
        <v>35</v>
      </c>
      <c r="W16" s="1" t="s">
        <v>35</v>
      </c>
      <c r="X16" s="1" t="s">
        <v>35</v>
      </c>
      <c r="Y16" s="4" t="str">
        <f>IFERROR(VLOOKUP(F:F,#REF!,2,0),"需要手动检查")</f>
        <v>需要手动检查</v>
      </c>
      <c r="Z16" s="5" t="str">
        <f t="shared" si="0"/>
        <v>否</v>
      </c>
      <c r="AA16" s="6" t="s">
        <v>38</v>
      </c>
    </row>
    <row r="17" customHeight="1" spans="1:27">
      <c r="A17" s="1" t="s">
        <v>117</v>
      </c>
      <c r="B17" s="1" t="s">
        <v>118</v>
      </c>
      <c r="C17" s="1" t="s">
        <v>71</v>
      </c>
      <c r="D17" s="1" t="s">
        <v>119</v>
      </c>
      <c r="E17" s="1" t="s">
        <v>120</v>
      </c>
      <c r="F17" s="1" t="s">
        <v>33</v>
      </c>
      <c r="G17" s="1">
        <v>15462</v>
      </c>
      <c r="H17" s="1">
        <v>3656</v>
      </c>
      <c r="I17" s="1">
        <v>37</v>
      </c>
      <c r="J17" s="1">
        <v>127</v>
      </c>
      <c r="K17" s="1">
        <v>334</v>
      </c>
      <c r="L17" s="1">
        <v>0</v>
      </c>
      <c r="M17" s="1">
        <v>19056</v>
      </c>
      <c r="N17" s="1">
        <v>970</v>
      </c>
      <c r="O17" s="1">
        <v>0</v>
      </c>
      <c r="P17" s="1">
        <v>0</v>
      </c>
      <c r="Q17" s="1">
        <v>0</v>
      </c>
      <c r="R17" s="1">
        <v>0</v>
      </c>
      <c r="S17" s="1">
        <v>0</v>
      </c>
      <c r="T17" s="1">
        <v>0</v>
      </c>
      <c r="U17" s="1" t="s">
        <v>121</v>
      </c>
      <c r="V17" s="1" t="s">
        <v>35</v>
      </c>
      <c r="W17" s="1" t="s">
        <v>122</v>
      </c>
      <c r="X17" s="1" t="s">
        <v>35</v>
      </c>
      <c r="Y17" s="4" t="str">
        <f>IFERROR(VLOOKUP(F:F,#REF!,2,0),"需要手动检查")</f>
        <v>需要手动检查</v>
      </c>
      <c r="Z17" s="5" t="str">
        <f t="shared" si="0"/>
        <v>否</v>
      </c>
      <c r="AA17" s="6" t="s">
        <v>48</v>
      </c>
    </row>
    <row r="18" customHeight="1" spans="1:27">
      <c r="A18" s="1" t="s">
        <v>123</v>
      </c>
      <c r="B18" s="1" t="s">
        <v>124</v>
      </c>
      <c r="C18" s="1" t="s">
        <v>125</v>
      </c>
      <c r="D18" s="1" t="s">
        <v>126</v>
      </c>
      <c r="E18" s="1" t="s">
        <v>127</v>
      </c>
      <c r="F18" s="1" t="s">
        <v>33</v>
      </c>
      <c r="G18" s="1">
        <v>231</v>
      </c>
      <c r="H18" s="1">
        <v>3</v>
      </c>
      <c r="I18" s="1">
        <v>0</v>
      </c>
      <c r="J18" s="1">
        <v>1</v>
      </c>
      <c r="K18" s="1">
        <v>0</v>
      </c>
      <c r="L18" s="1">
        <v>0</v>
      </c>
      <c r="M18" s="1">
        <v>247</v>
      </c>
      <c r="N18" s="1">
        <v>8</v>
      </c>
      <c r="O18" s="1">
        <v>0</v>
      </c>
      <c r="P18" s="1">
        <v>0</v>
      </c>
      <c r="Q18" s="1">
        <v>0</v>
      </c>
      <c r="R18" s="1">
        <v>0</v>
      </c>
      <c r="S18" s="1">
        <v>0</v>
      </c>
      <c r="T18" s="1">
        <v>0</v>
      </c>
      <c r="U18" s="1" t="s">
        <v>128</v>
      </c>
      <c r="V18" s="1" t="s">
        <v>35</v>
      </c>
      <c r="W18" s="1" t="s">
        <v>129</v>
      </c>
      <c r="X18" s="1" t="s">
        <v>35</v>
      </c>
      <c r="Y18" s="4" t="str">
        <f>IFERROR(VLOOKUP(F:F,#REF!,2,0),"需要手动检查")</f>
        <v>需要手动检查</v>
      </c>
      <c r="Z18" s="5" t="str">
        <f t="shared" si="0"/>
        <v>否</v>
      </c>
      <c r="AA18" s="6" t="s">
        <v>38</v>
      </c>
    </row>
    <row r="19" customHeight="1" spans="1:27">
      <c r="A19" s="1" t="s">
        <v>130</v>
      </c>
      <c r="B19" s="1" t="s">
        <v>131</v>
      </c>
      <c r="C19" s="1" t="s">
        <v>132</v>
      </c>
      <c r="D19" s="1" t="s">
        <v>133</v>
      </c>
      <c r="E19" s="1" t="s">
        <v>134</v>
      </c>
      <c r="F19" s="1" t="s">
        <v>33</v>
      </c>
      <c r="G19" s="1">
        <v>760</v>
      </c>
      <c r="H19" s="1">
        <v>6</v>
      </c>
      <c r="I19" s="1">
        <v>0</v>
      </c>
      <c r="J19" s="1">
        <v>0</v>
      </c>
      <c r="K19" s="1">
        <v>1</v>
      </c>
      <c r="L19" s="1">
        <v>0</v>
      </c>
      <c r="M19" s="1">
        <v>876</v>
      </c>
      <c r="N19" s="1">
        <v>27</v>
      </c>
      <c r="O19" s="1">
        <v>0</v>
      </c>
      <c r="P19" s="1">
        <v>0</v>
      </c>
      <c r="Q19" s="1">
        <v>0</v>
      </c>
      <c r="R19" s="1">
        <v>0</v>
      </c>
      <c r="S19" s="1">
        <v>0</v>
      </c>
      <c r="T19" s="1">
        <v>0</v>
      </c>
      <c r="U19" s="1" t="s">
        <v>135</v>
      </c>
      <c r="V19" s="1" t="s">
        <v>35</v>
      </c>
      <c r="W19" s="1" t="s">
        <v>136</v>
      </c>
      <c r="X19" s="1" t="s">
        <v>35</v>
      </c>
      <c r="Y19" s="4" t="str">
        <f>IFERROR(VLOOKUP(F:F,#REF!,2,0),"需要手动检查")</f>
        <v>需要手动检查</v>
      </c>
      <c r="Z19" s="5" t="str">
        <f t="shared" si="0"/>
        <v>否</v>
      </c>
      <c r="AA19" s="6" t="s">
        <v>48</v>
      </c>
    </row>
    <row r="20" customHeight="1" spans="1:27">
      <c r="A20" s="1" t="s">
        <v>137</v>
      </c>
      <c r="B20" s="1" t="s">
        <v>138</v>
      </c>
      <c r="C20" s="1" t="s">
        <v>139</v>
      </c>
      <c r="D20" s="1" t="s">
        <v>140</v>
      </c>
      <c r="E20" s="1" t="s">
        <v>141</v>
      </c>
      <c r="F20" s="1" t="s">
        <v>54</v>
      </c>
      <c r="G20" s="1">
        <v>786</v>
      </c>
      <c r="H20" s="1">
        <v>19</v>
      </c>
      <c r="I20" s="1">
        <v>1</v>
      </c>
      <c r="J20" s="1">
        <v>2</v>
      </c>
      <c r="K20" s="1">
        <v>0</v>
      </c>
      <c r="L20" s="1">
        <v>0</v>
      </c>
      <c r="M20" s="1">
        <v>859</v>
      </c>
      <c r="N20" s="1">
        <v>43</v>
      </c>
      <c r="O20" s="1">
        <v>0</v>
      </c>
      <c r="P20" s="1">
        <v>0</v>
      </c>
      <c r="Q20" s="1">
        <v>0</v>
      </c>
      <c r="R20" s="1">
        <v>0</v>
      </c>
      <c r="S20" s="1">
        <v>0</v>
      </c>
      <c r="T20" s="1">
        <v>0</v>
      </c>
      <c r="U20" s="1" t="s">
        <v>142</v>
      </c>
      <c r="V20" s="1" t="s">
        <v>35</v>
      </c>
      <c r="W20" s="1" t="s">
        <v>143</v>
      </c>
      <c r="X20" s="1" t="s">
        <v>35</v>
      </c>
      <c r="Y20" s="4" t="str">
        <f>IFERROR(VLOOKUP(F:F,#REF!,2,0),"需要手动检查")</f>
        <v>需要手动检查</v>
      </c>
      <c r="Z20" s="5" t="str">
        <f t="shared" si="0"/>
        <v>否</v>
      </c>
      <c r="AA20" s="6" t="s">
        <v>38</v>
      </c>
    </row>
    <row r="21" customHeight="1" spans="1:27">
      <c r="A21" s="1" t="s">
        <v>137</v>
      </c>
      <c r="B21" s="1" t="s">
        <v>138</v>
      </c>
      <c r="C21" s="1" t="s">
        <v>144</v>
      </c>
      <c r="D21" s="1" t="s">
        <v>145</v>
      </c>
      <c r="E21" s="1" t="s">
        <v>146</v>
      </c>
      <c r="F21" s="1" t="s">
        <v>54</v>
      </c>
      <c r="G21" s="1">
        <v>908</v>
      </c>
      <c r="H21" s="1">
        <v>37</v>
      </c>
      <c r="I21" s="1">
        <v>2</v>
      </c>
      <c r="J21" s="1">
        <v>2</v>
      </c>
      <c r="K21" s="1">
        <v>0</v>
      </c>
      <c r="L21" s="1">
        <v>0</v>
      </c>
      <c r="M21" s="1">
        <v>1049</v>
      </c>
      <c r="N21" s="1">
        <v>69</v>
      </c>
      <c r="O21" s="1">
        <v>0</v>
      </c>
      <c r="P21" s="1">
        <v>0</v>
      </c>
      <c r="Q21" s="1">
        <v>0</v>
      </c>
      <c r="R21" s="1">
        <v>0</v>
      </c>
      <c r="S21" s="1">
        <v>0</v>
      </c>
      <c r="T21" s="1">
        <v>0</v>
      </c>
      <c r="U21" s="1" t="s">
        <v>147</v>
      </c>
      <c r="V21" s="1" t="s">
        <v>35</v>
      </c>
      <c r="W21" s="1" t="s">
        <v>148</v>
      </c>
      <c r="X21" s="1" t="s">
        <v>35</v>
      </c>
      <c r="Y21" s="4" t="str">
        <f>IFERROR(VLOOKUP(F:F,#REF!,2,0),"需要手动检查")</f>
        <v>需要手动检查</v>
      </c>
      <c r="Z21" s="5" t="str">
        <f t="shared" si="0"/>
        <v>否</v>
      </c>
      <c r="AA21" s="6" t="s">
        <v>48</v>
      </c>
    </row>
    <row r="22" customHeight="1" spans="1:27">
      <c r="A22" s="1" t="s">
        <v>149</v>
      </c>
      <c r="B22" s="1" t="s">
        <v>150</v>
      </c>
      <c r="C22" s="1" t="s">
        <v>151</v>
      </c>
      <c r="D22" s="1" t="s">
        <v>152</v>
      </c>
      <c r="E22" s="1" t="s">
        <v>153</v>
      </c>
      <c r="F22" s="1" t="s">
        <v>77</v>
      </c>
      <c r="G22" s="1">
        <v>4551</v>
      </c>
      <c r="H22" s="1">
        <v>616</v>
      </c>
      <c r="I22" s="1">
        <v>3</v>
      </c>
      <c r="J22" s="1">
        <v>3</v>
      </c>
      <c r="K22" s="1">
        <v>36</v>
      </c>
      <c r="L22" s="1">
        <v>0</v>
      </c>
      <c r="M22" s="1">
        <v>7874</v>
      </c>
      <c r="N22" s="1">
        <v>691</v>
      </c>
      <c r="O22" s="1">
        <v>0</v>
      </c>
      <c r="P22" s="1">
        <v>0</v>
      </c>
      <c r="Q22" s="1">
        <v>0</v>
      </c>
      <c r="R22" s="1">
        <v>0</v>
      </c>
      <c r="S22" s="1">
        <v>0</v>
      </c>
      <c r="T22" s="1">
        <v>0</v>
      </c>
      <c r="U22" s="1" t="s">
        <v>154</v>
      </c>
      <c r="V22" s="1" t="s">
        <v>35</v>
      </c>
      <c r="W22" s="1" t="s">
        <v>155</v>
      </c>
      <c r="X22" s="1" t="s">
        <v>35</v>
      </c>
      <c r="Y22" s="4" t="str">
        <f>IFERROR(VLOOKUP(F:F,#REF!,2,0),"需要手动检查")</f>
        <v>需要手动检查</v>
      </c>
      <c r="Z22" s="5" t="str">
        <f t="shared" si="0"/>
        <v>否</v>
      </c>
      <c r="AA22" s="6" t="s">
        <v>38</v>
      </c>
    </row>
    <row r="23" customHeight="1" spans="1:27">
      <c r="A23" s="1" t="s">
        <v>156</v>
      </c>
      <c r="B23" s="1" t="s">
        <v>157</v>
      </c>
      <c r="C23" s="1" t="s">
        <v>158</v>
      </c>
      <c r="D23" s="1" t="s">
        <v>159</v>
      </c>
      <c r="E23" s="1" t="s">
        <v>160</v>
      </c>
      <c r="F23" s="1" t="s">
        <v>161</v>
      </c>
      <c r="G23" s="1">
        <v>5</v>
      </c>
      <c r="H23" s="1">
        <v>0</v>
      </c>
      <c r="I23" s="1">
        <v>1</v>
      </c>
      <c r="J23" s="1">
        <v>0</v>
      </c>
      <c r="K23" s="1">
        <v>0</v>
      </c>
      <c r="L23" s="1">
        <v>0</v>
      </c>
      <c r="M23" s="1">
        <v>77</v>
      </c>
      <c r="N23" s="1">
        <v>9</v>
      </c>
      <c r="O23" s="1">
        <v>0</v>
      </c>
      <c r="P23" s="1">
        <v>0</v>
      </c>
      <c r="Q23" s="1">
        <v>0</v>
      </c>
      <c r="R23" s="1">
        <v>0</v>
      </c>
      <c r="S23" s="1">
        <v>0</v>
      </c>
      <c r="T23" s="1">
        <v>0</v>
      </c>
      <c r="U23" s="1" t="s">
        <v>162</v>
      </c>
      <c r="V23" s="1" t="s">
        <v>35</v>
      </c>
      <c r="W23" s="1" t="s">
        <v>35</v>
      </c>
      <c r="X23" s="1" t="s">
        <v>35</v>
      </c>
      <c r="Y23" s="4" t="str">
        <f>IFERROR(VLOOKUP(F:F,#REF!,2,0),"需要手动检查")</f>
        <v>需要手动检查</v>
      </c>
      <c r="Z23" s="5" t="str">
        <f t="shared" si="0"/>
        <v>否</v>
      </c>
      <c r="AA23" s="6" t="s">
        <v>48</v>
      </c>
    </row>
    <row r="24" customHeight="1" spans="1:27">
      <c r="A24" s="1" t="s">
        <v>137</v>
      </c>
      <c r="B24" s="1" t="s">
        <v>138</v>
      </c>
      <c r="C24" s="1" t="s">
        <v>163</v>
      </c>
      <c r="D24" s="1" t="s">
        <v>164</v>
      </c>
      <c r="E24" s="1" t="s">
        <v>165</v>
      </c>
      <c r="F24" s="1" t="s">
        <v>54</v>
      </c>
      <c r="G24" s="1">
        <v>831</v>
      </c>
      <c r="H24" s="1">
        <v>22</v>
      </c>
      <c r="I24" s="1">
        <v>5</v>
      </c>
      <c r="J24" s="1">
        <v>3</v>
      </c>
      <c r="K24" s="1">
        <v>0</v>
      </c>
      <c r="L24" s="1">
        <v>0</v>
      </c>
      <c r="M24" s="1">
        <v>872</v>
      </c>
      <c r="N24" s="1">
        <v>13</v>
      </c>
      <c r="O24" s="1">
        <v>0</v>
      </c>
      <c r="P24" s="1">
        <v>0</v>
      </c>
      <c r="Q24" s="1">
        <v>0</v>
      </c>
      <c r="R24" s="1">
        <v>0</v>
      </c>
      <c r="S24" s="1">
        <v>0</v>
      </c>
      <c r="T24" s="1">
        <v>0</v>
      </c>
      <c r="U24" s="1" t="s">
        <v>166</v>
      </c>
      <c r="V24" s="1" t="s">
        <v>35</v>
      </c>
      <c r="W24" s="1" t="s">
        <v>167</v>
      </c>
      <c r="X24" s="1" t="s">
        <v>35</v>
      </c>
      <c r="Y24" s="4" t="str">
        <f>IFERROR(VLOOKUP(F:F,#REF!,2,0),"需要手动检查")</f>
        <v>需要手动检查</v>
      </c>
      <c r="Z24" s="5" t="str">
        <f t="shared" si="0"/>
        <v>否</v>
      </c>
      <c r="AA24" s="6" t="s">
        <v>38</v>
      </c>
    </row>
    <row r="25" customHeight="1" spans="1:27">
      <c r="A25" s="1" t="s">
        <v>168</v>
      </c>
      <c r="B25" s="1" t="s">
        <v>169</v>
      </c>
      <c r="C25" s="1" t="s">
        <v>170</v>
      </c>
      <c r="D25" s="1" t="s">
        <v>171</v>
      </c>
      <c r="E25" s="1" t="s">
        <v>172</v>
      </c>
      <c r="F25" s="1" t="s">
        <v>33</v>
      </c>
      <c r="G25" s="1">
        <v>4048</v>
      </c>
      <c r="H25" s="1">
        <v>56</v>
      </c>
      <c r="I25" s="1">
        <v>1</v>
      </c>
      <c r="J25" s="1">
        <v>1</v>
      </c>
      <c r="K25" s="1">
        <v>1</v>
      </c>
      <c r="L25" s="1">
        <v>0</v>
      </c>
      <c r="M25" s="1">
        <v>4528</v>
      </c>
      <c r="N25" s="1">
        <v>338</v>
      </c>
      <c r="O25" s="1">
        <v>0</v>
      </c>
      <c r="P25" s="1">
        <v>0</v>
      </c>
      <c r="Q25" s="1">
        <v>0</v>
      </c>
      <c r="R25" s="1">
        <v>0</v>
      </c>
      <c r="S25" s="1">
        <v>0</v>
      </c>
      <c r="T25" s="1">
        <v>0</v>
      </c>
      <c r="U25" s="1" t="s">
        <v>173</v>
      </c>
      <c r="V25" s="1" t="s">
        <v>35</v>
      </c>
      <c r="W25" s="1" t="s">
        <v>174</v>
      </c>
      <c r="X25" s="1" t="s">
        <v>35</v>
      </c>
      <c r="Y25" s="4" t="str">
        <f>IFERROR(VLOOKUP(F:F,#REF!,2,0),"需要手动检查")</f>
        <v>需要手动检查</v>
      </c>
      <c r="Z25" s="5" t="str">
        <f t="shared" si="0"/>
        <v>否</v>
      </c>
      <c r="AA25" s="6" t="s">
        <v>48</v>
      </c>
    </row>
    <row r="26" customHeight="1" spans="1:27">
      <c r="A26" s="1" t="s">
        <v>175</v>
      </c>
      <c r="B26" s="1" t="s">
        <v>176</v>
      </c>
      <c r="C26" s="1" t="s">
        <v>177</v>
      </c>
      <c r="D26" s="1" t="s">
        <v>178</v>
      </c>
      <c r="E26" s="1" t="s">
        <v>179</v>
      </c>
      <c r="F26" s="1" t="s">
        <v>77</v>
      </c>
      <c r="G26" s="1">
        <v>346</v>
      </c>
      <c r="H26" s="1">
        <v>10</v>
      </c>
      <c r="I26" s="1">
        <v>1</v>
      </c>
      <c r="J26" s="1">
        <v>0</v>
      </c>
      <c r="K26" s="1">
        <v>1</v>
      </c>
      <c r="L26" s="1">
        <v>0</v>
      </c>
      <c r="M26" s="1">
        <v>323</v>
      </c>
      <c r="N26" s="1">
        <v>1</v>
      </c>
      <c r="O26" s="1">
        <v>0</v>
      </c>
      <c r="P26" s="1">
        <v>0</v>
      </c>
      <c r="Q26" s="1">
        <v>0</v>
      </c>
      <c r="R26" s="1">
        <v>0</v>
      </c>
      <c r="S26" s="1">
        <v>0</v>
      </c>
      <c r="T26" s="1">
        <v>0</v>
      </c>
      <c r="U26" s="1" t="s">
        <v>180</v>
      </c>
      <c r="V26" s="1" t="s">
        <v>35</v>
      </c>
      <c r="W26" s="1" t="s">
        <v>181</v>
      </c>
      <c r="X26" s="1" t="s">
        <v>35</v>
      </c>
      <c r="Y26" s="4" t="str">
        <f>IFERROR(VLOOKUP(F:F,#REF!,2,0),"需要手动检查")</f>
        <v>需要手动检查</v>
      </c>
      <c r="Z26" s="5" t="str">
        <f t="shared" si="0"/>
        <v>否</v>
      </c>
      <c r="AA26" s="6" t="s">
        <v>38</v>
      </c>
    </row>
    <row r="27" customHeight="1" spans="1:27">
      <c r="A27" s="1" t="s">
        <v>137</v>
      </c>
      <c r="B27" s="1" t="s">
        <v>138</v>
      </c>
      <c r="C27" s="1" t="s">
        <v>182</v>
      </c>
      <c r="D27" s="1" t="s">
        <v>183</v>
      </c>
      <c r="E27" s="1" t="s">
        <v>184</v>
      </c>
      <c r="F27" s="1" t="s">
        <v>54</v>
      </c>
      <c r="G27" s="1">
        <v>835</v>
      </c>
      <c r="H27" s="1">
        <v>17</v>
      </c>
      <c r="I27" s="1">
        <v>7</v>
      </c>
      <c r="J27" s="1">
        <v>2</v>
      </c>
      <c r="K27" s="1">
        <v>0</v>
      </c>
      <c r="L27" s="1">
        <v>0</v>
      </c>
      <c r="M27" s="1">
        <v>880</v>
      </c>
      <c r="N27" s="1">
        <v>35</v>
      </c>
      <c r="O27" s="1">
        <v>0</v>
      </c>
      <c r="P27" s="1">
        <v>0</v>
      </c>
      <c r="Q27" s="1">
        <v>0</v>
      </c>
      <c r="R27" s="1">
        <v>0</v>
      </c>
      <c r="S27" s="1">
        <v>0</v>
      </c>
      <c r="T27" s="1">
        <v>0</v>
      </c>
      <c r="U27" s="1" t="s">
        <v>185</v>
      </c>
      <c r="V27" s="1" t="s">
        <v>35</v>
      </c>
      <c r="W27" s="1" t="s">
        <v>186</v>
      </c>
      <c r="X27" s="1" t="s">
        <v>35</v>
      </c>
      <c r="Y27" s="4" t="str">
        <f>IFERROR(VLOOKUP(F:F,#REF!,2,0),"需要手动检查")</f>
        <v>需要手动检查</v>
      </c>
      <c r="Z27" s="5" t="str">
        <f t="shared" si="0"/>
        <v>否</v>
      </c>
      <c r="AA27" s="6" t="s">
        <v>48</v>
      </c>
    </row>
    <row r="28" customHeight="1" spans="1:27">
      <c r="A28" s="1" t="s">
        <v>187</v>
      </c>
      <c r="B28" s="1" t="s">
        <v>188</v>
      </c>
      <c r="C28" s="1" t="s">
        <v>189</v>
      </c>
      <c r="D28" s="1" t="s">
        <v>190</v>
      </c>
      <c r="E28" s="1" t="s">
        <v>191</v>
      </c>
      <c r="F28" s="1" t="s">
        <v>44</v>
      </c>
      <c r="G28" s="1">
        <v>1136</v>
      </c>
      <c r="H28" s="1">
        <v>24</v>
      </c>
      <c r="I28" s="1">
        <v>5</v>
      </c>
      <c r="J28" s="1">
        <v>0</v>
      </c>
      <c r="K28" s="1">
        <v>2</v>
      </c>
      <c r="L28" s="1">
        <v>0</v>
      </c>
      <c r="M28" s="1">
        <v>1211</v>
      </c>
      <c r="N28" s="1">
        <v>8</v>
      </c>
      <c r="O28" s="1">
        <v>0</v>
      </c>
      <c r="P28" s="1">
        <v>0</v>
      </c>
      <c r="Q28" s="1">
        <v>0</v>
      </c>
      <c r="R28" s="1">
        <v>0</v>
      </c>
      <c r="S28" s="1">
        <v>0</v>
      </c>
      <c r="T28" s="1">
        <v>0</v>
      </c>
      <c r="U28" s="1" t="s">
        <v>192</v>
      </c>
      <c r="V28" s="1" t="s">
        <v>35</v>
      </c>
      <c r="W28" s="1" t="s">
        <v>193</v>
      </c>
      <c r="X28" s="1" t="s">
        <v>35</v>
      </c>
      <c r="Y28" s="4" t="str">
        <f>IFERROR(VLOOKUP(F:F,#REF!,2,0),"需要手动检查")</f>
        <v>需要手动检查</v>
      </c>
      <c r="Z28" s="5" t="str">
        <f t="shared" si="0"/>
        <v>否</v>
      </c>
      <c r="AA28" s="6" t="s">
        <v>38</v>
      </c>
    </row>
    <row r="29" customHeight="1" spans="1:27">
      <c r="A29" s="1" t="s">
        <v>96</v>
      </c>
      <c r="B29" s="1" t="s">
        <v>97</v>
      </c>
      <c r="C29" s="1" t="s">
        <v>194</v>
      </c>
      <c r="D29" s="1" t="s">
        <v>195</v>
      </c>
      <c r="E29" s="1" t="s">
        <v>196</v>
      </c>
      <c r="F29" s="1" t="s">
        <v>44</v>
      </c>
      <c r="G29" s="1">
        <v>352</v>
      </c>
      <c r="H29" s="1">
        <v>3</v>
      </c>
      <c r="I29" s="1">
        <v>0</v>
      </c>
      <c r="J29" s="1">
        <v>0</v>
      </c>
      <c r="K29" s="1">
        <v>0</v>
      </c>
      <c r="L29" s="1">
        <v>0</v>
      </c>
      <c r="M29" s="1">
        <v>386</v>
      </c>
      <c r="N29" s="1">
        <v>12</v>
      </c>
      <c r="O29" s="1">
        <v>0</v>
      </c>
      <c r="P29" s="1">
        <v>0</v>
      </c>
      <c r="Q29" s="1">
        <v>0</v>
      </c>
      <c r="R29" s="1">
        <v>0</v>
      </c>
      <c r="S29" s="1">
        <v>0</v>
      </c>
      <c r="T29" s="1">
        <v>0</v>
      </c>
      <c r="U29" s="1" t="s">
        <v>197</v>
      </c>
      <c r="V29" s="1" t="s">
        <v>35</v>
      </c>
      <c r="W29" s="1" t="s">
        <v>198</v>
      </c>
      <c r="X29" s="1" t="s">
        <v>35</v>
      </c>
      <c r="Y29" s="4" t="str">
        <f>IFERROR(VLOOKUP(F:F,#REF!,2,0),"需要手动检查")</f>
        <v>需要手动检查</v>
      </c>
      <c r="Z29" s="5" t="str">
        <f t="shared" si="0"/>
        <v>否</v>
      </c>
      <c r="AA29" s="6" t="s">
        <v>48</v>
      </c>
    </row>
    <row r="30" customHeight="1" spans="1:27">
      <c r="A30" s="1" t="s">
        <v>199</v>
      </c>
      <c r="B30" s="1" t="s">
        <v>200</v>
      </c>
      <c r="C30" s="1" t="s">
        <v>201</v>
      </c>
      <c r="D30" s="1" t="s">
        <v>202</v>
      </c>
      <c r="E30" s="1" t="s">
        <v>203</v>
      </c>
      <c r="F30" s="1" t="s">
        <v>71</v>
      </c>
      <c r="G30" s="1">
        <v>0</v>
      </c>
      <c r="H30" s="1">
        <v>0</v>
      </c>
      <c r="I30" s="1">
        <v>0</v>
      </c>
      <c r="J30" s="1">
        <v>0</v>
      </c>
      <c r="K30" s="1">
        <v>0</v>
      </c>
      <c r="L30" s="1">
        <v>0</v>
      </c>
      <c r="M30" s="1">
        <v>7</v>
      </c>
      <c r="N30" s="1">
        <v>0</v>
      </c>
      <c r="O30" s="1">
        <v>0</v>
      </c>
      <c r="P30" s="1">
        <v>0</v>
      </c>
      <c r="Q30" s="1">
        <v>0</v>
      </c>
      <c r="R30" s="1">
        <v>0</v>
      </c>
      <c r="S30" s="1">
        <v>0</v>
      </c>
      <c r="T30" s="1">
        <v>0</v>
      </c>
      <c r="U30" s="1" t="s">
        <v>35</v>
      </c>
      <c r="V30" s="1" t="s">
        <v>35</v>
      </c>
      <c r="W30" s="1" t="s">
        <v>35</v>
      </c>
      <c r="X30" s="1" t="s">
        <v>35</v>
      </c>
      <c r="Y30" s="4" t="str">
        <f>IFERROR(VLOOKUP(F:F,#REF!,2,0),"需要手动检查")</f>
        <v>需要手动检查</v>
      </c>
      <c r="Z30" s="5" t="str">
        <f t="shared" si="0"/>
        <v>否</v>
      </c>
      <c r="AA30" s="6" t="s">
        <v>38</v>
      </c>
    </row>
    <row r="31" customHeight="1" spans="1:27">
      <c r="A31" s="1" t="s">
        <v>204</v>
      </c>
      <c r="B31" s="1" t="s">
        <v>205</v>
      </c>
      <c r="C31" s="1" t="s">
        <v>206</v>
      </c>
      <c r="D31" s="1" t="s">
        <v>207</v>
      </c>
      <c r="E31" s="1" t="s">
        <v>208</v>
      </c>
      <c r="F31" s="1" t="s">
        <v>71</v>
      </c>
      <c r="G31" s="1">
        <v>0</v>
      </c>
      <c r="H31" s="1">
        <v>0</v>
      </c>
      <c r="I31" s="1">
        <v>0</v>
      </c>
      <c r="J31" s="1">
        <v>0</v>
      </c>
      <c r="K31" s="1">
        <v>0</v>
      </c>
      <c r="L31" s="1">
        <v>0</v>
      </c>
      <c r="M31" s="1">
        <v>8</v>
      </c>
      <c r="N31" s="1">
        <v>0</v>
      </c>
      <c r="O31" s="1">
        <v>0</v>
      </c>
      <c r="P31" s="1">
        <v>0</v>
      </c>
      <c r="Q31" s="1">
        <v>0</v>
      </c>
      <c r="R31" s="1">
        <v>0</v>
      </c>
      <c r="S31" s="1">
        <v>0</v>
      </c>
      <c r="T31" s="1">
        <v>0</v>
      </c>
      <c r="U31" s="1" t="s">
        <v>35</v>
      </c>
      <c r="V31" s="1" t="s">
        <v>35</v>
      </c>
      <c r="W31" s="1" t="s">
        <v>35</v>
      </c>
      <c r="X31" s="1" t="s">
        <v>35</v>
      </c>
      <c r="Y31" s="4" t="str">
        <f>IFERROR(VLOOKUP(F:F,#REF!,2,0),"需要手动检查")</f>
        <v>需要手动检查</v>
      </c>
      <c r="Z31" s="5" t="str">
        <f t="shared" si="0"/>
        <v>否</v>
      </c>
      <c r="AA31" s="6" t="s">
        <v>48</v>
      </c>
    </row>
    <row r="32" customHeight="1" spans="1:27">
      <c r="A32" s="1" t="s">
        <v>204</v>
      </c>
      <c r="B32" s="1" t="s">
        <v>205</v>
      </c>
      <c r="C32" s="1" t="s">
        <v>209</v>
      </c>
      <c r="D32" s="1" t="s">
        <v>210</v>
      </c>
      <c r="E32" s="1" t="s">
        <v>211</v>
      </c>
      <c r="F32" s="1" t="s">
        <v>71</v>
      </c>
      <c r="G32" s="1">
        <v>0</v>
      </c>
      <c r="H32" s="1">
        <v>0</v>
      </c>
      <c r="I32" s="1">
        <v>0</v>
      </c>
      <c r="J32" s="1">
        <v>0</v>
      </c>
      <c r="K32" s="1">
        <v>0</v>
      </c>
      <c r="L32" s="1">
        <v>0</v>
      </c>
      <c r="M32" s="1">
        <v>100</v>
      </c>
      <c r="N32" s="1">
        <v>0</v>
      </c>
      <c r="O32" s="1">
        <v>0</v>
      </c>
      <c r="P32" s="1">
        <v>0</v>
      </c>
      <c r="Q32" s="1">
        <v>0</v>
      </c>
      <c r="R32" s="1">
        <v>0</v>
      </c>
      <c r="S32" s="1">
        <v>0</v>
      </c>
      <c r="T32" s="1">
        <v>0</v>
      </c>
      <c r="U32" s="1" t="s">
        <v>35</v>
      </c>
      <c r="V32" s="1" t="s">
        <v>35</v>
      </c>
      <c r="W32" s="1" t="s">
        <v>35</v>
      </c>
      <c r="X32" s="1" t="s">
        <v>35</v>
      </c>
      <c r="Y32" s="4" t="str">
        <f>IFERROR(VLOOKUP(F:F,#REF!,2,0),"需要手动检查")</f>
        <v>需要手动检查</v>
      </c>
      <c r="Z32" s="5" t="str">
        <f t="shared" si="0"/>
        <v>否</v>
      </c>
      <c r="AA32" s="6" t="s">
        <v>38</v>
      </c>
    </row>
    <row r="33" customHeight="1" spans="1:27">
      <c r="A33" s="1" t="s">
        <v>199</v>
      </c>
      <c r="B33" s="1" t="s">
        <v>200</v>
      </c>
      <c r="C33" s="1" t="s">
        <v>212</v>
      </c>
      <c r="D33" s="1" t="s">
        <v>213</v>
      </c>
      <c r="E33" s="1" t="s">
        <v>214</v>
      </c>
      <c r="F33" s="1" t="s">
        <v>71</v>
      </c>
      <c r="G33" s="1">
        <v>0</v>
      </c>
      <c r="H33" s="1">
        <v>0</v>
      </c>
      <c r="I33" s="1">
        <v>0</v>
      </c>
      <c r="J33" s="1">
        <v>0</v>
      </c>
      <c r="K33" s="1">
        <v>0</v>
      </c>
      <c r="L33" s="1">
        <v>0</v>
      </c>
      <c r="M33" s="1">
        <v>5</v>
      </c>
      <c r="N33" s="1">
        <v>0</v>
      </c>
      <c r="O33" s="1">
        <v>0</v>
      </c>
      <c r="P33" s="1">
        <v>0</v>
      </c>
      <c r="Q33" s="1">
        <v>0</v>
      </c>
      <c r="R33" s="1">
        <v>0</v>
      </c>
      <c r="S33" s="1">
        <v>0</v>
      </c>
      <c r="T33" s="1">
        <v>0</v>
      </c>
      <c r="U33" s="1" t="s">
        <v>35</v>
      </c>
      <c r="V33" s="1" t="s">
        <v>35</v>
      </c>
      <c r="W33" s="1" t="s">
        <v>35</v>
      </c>
      <c r="X33" s="1" t="s">
        <v>35</v>
      </c>
      <c r="Y33" s="4" t="str">
        <f>IFERROR(VLOOKUP(F:F,#REF!,2,0),"需要手动检查")</f>
        <v>需要手动检查</v>
      </c>
      <c r="Z33" s="5" t="str">
        <f t="shared" si="0"/>
        <v>否</v>
      </c>
      <c r="AA33" s="6" t="s">
        <v>48</v>
      </c>
    </row>
    <row r="34" customHeight="1" spans="1:27">
      <c r="A34" s="1" t="s">
        <v>199</v>
      </c>
      <c r="B34" s="1" t="s">
        <v>200</v>
      </c>
      <c r="C34" s="1" t="s">
        <v>212</v>
      </c>
      <c r="D34" s="1" t="s">
        <v>215</v>
      </c>
      <c r="E34" s="1" t="s">
        <v>216</v>
      </c>
      <c r="F34" s="1" t="s">
        <v>71</v>
      </c>
      <c r="G34" s="1">
        <v>0</v>
      </c>
      <c r="H34" s="1">
        <v>0</v>
      </c>
      <c r="I34" s="1">
        <v>0</v>
      </c>
      <c r="J34" s="1">
        <v>0</v>
      </c>
      <c r="K34" s="1">
        <v>0</v>
      </c>
      <c r="L34" s="1">
        <v>0</v>
      </c>
      <c r="M34" s="1">
        <v>123</v>
      </c>
      <c r="N34" s="1">
        <v>4</v>
      </c>
      <c r="O34" s="1">
        <v>0</v>
      </c>
      <c r="P34" s="1">
        <v>0</v>
      </c>
      <c r="Q34" s="1">
        <v>0</v>
      </c>
      <c r="R34" s="1">
        <v>0</v>
      </c>
      <c r="S34" s="1">
        <v>0</v>
      </c>
      <c r="T34" s="1">
        <v>0</v>
      </c>
      <c r="U34" s="1" t="s">
        <v>35</v>
      </c>
      <c r="V34" s="1" t="s">
        <v>35</v>
      </c>
      <c r="W34" s="1" t="s">
        <v>35</v>
      </c>
      <c r="X34" s="1" t="s">
        <v>35</v>
      </c>
      <c r="Y34" s="4" t="str">
        <f>IFERROR(VLOOKUP(F:F,#REF!,2,0),"需要手动检查")</f>
        <v>需要手动检查</v>
      </c>
      <c r="Z34" s="5" t="str">
        <f t="shared" si="0"/>
        <v>否</v>
      </c>
      <c r="AA34" s="6" t="s">
        <v>38</v>
      </c>
    </row>
    <row r="35" customHeight="1" spans="1:27">
      <c r="A35" s="1" t="s">
        <v>199</v>
      </c>
      <c r="B35" s="1" t="s">
        <v>200</v>
      </c>
      <c r="C35" s="1" t="s">
        <v>212</v>
      </c>
      <c r="D35" s="1" t="s">
        <v>217</v>
      </c>
      <c r="E35" s="1" t="s">
        <v>218</v>
      </c>
      <c r="F35" s="1" t="s">
        <v>71</v>
      </c>
      <c r="G35" s="1">
        <v>0</v>
      </c>
      <c r="H35" s="1">
        <v>0</v>
      </c>
      <c r="I35" s="1">
        <v>0</v>
      </c>
      <c r="J35" s="1">
        <v>0</v>
      </c>
      <c r="K35" s="1">
        <v>0</v>
      </c>
      <c r="L35" s="1">
        <v>0</v>
      </c>
      <c r="M35" s="1">
        <v>64</v>
      </c>
      <c r="N35" s="1">
        <v>4</v>
      </c>
      <c r="O35" s="1">
        <v>0</v>
      </c>
      <c r="P35" s="1">
        <v>0</v>
      </c>
      <c r="Q35" s="1">
        <v>0</v>
      </c>
      <c r="R35" s="1">
        <v>0</v>
      </c>
      <c r="S35" s="1">
        <v>0</v>
      </c>
      <c r="T35" s="1">
        <v>0</v>
      </c>
      <c r="U35" s="1" t="s">
        <v>35</v>
      </c>
      <c r="V35" s="1" t="s">
        <v>35</v>
      </c>
      <c r="W35" s="1" t="s">
        <v>35</v>
      </c>
      <c r="X35" s="1" t="s">
        <v>35</v>
      </c>
      <c r="Y35" s="4" t="str">
        <f>IFERROR(VLOOKUP(F:F,#REF!,2,0),"需要手动检查")</f>
        <v>需要手动检查</v>
      </c>
      <c r="Z35" s="5" t="str">
        <f t="shared" si="0"/>
        <v>否</v>
      </c>
      <c r="AA35" s="6" t="s">
        <v>48</v>
      </c>
    </row>
    <row r="36" customHeight="1" spans="1:27">
      <c r="A36" s="1" t="s">
        <v>199</v>
      </c>
      <c r="B36" s="1" t="s">
        <v>200</v>
      </c>
      <c r="C36" s="1" t="s">
        <v>219</v>
      </c>
      <c r="D36" s="1" t="s">
        <v>220</v>
      </c>
      <c r="E36" s="1" t="s">
        <v>221</v>
      </c>
      <c r="F36" s="1" t="s">
        <v>71</v>
      </c>
      <c r="G36" s="1">
        <v>0</v>
      </c>
      <c r="H36" s="1">
        <v>0</v>
      </c>
      <c r="I36" s="1">
        <v>0</v>
      </c>
      <c r="J36" s="1">
        <v>0</v>
      </c>
      <c r="K36" s="1">
        <v>0</v>
      </c>
      <c r="L36" s="1">
        <v>0</v>
      </c>
      <c r="M36" s="1">
        <v>169</v>
      </c>
      <c r="N36" s="1">
        <v>1</v>
      </c>
      <c r="O36" s="1">
        <v>0</v>
      </c>
      <c r="P36" s="1">
        <v>0</v>
      </c>
      <c r="Q36" s="1">
        <v>0</v>
      </c>
      <c r="R36" s="1">
        <v>0</v>
      </c>
      <c r="S36" s="1">
        <v>0</v>
      </c>
      <c r="T36" s="1">
        <v>0</v>
      </c>
      <c r="U36" s="1" t="s">
        <v>35</v>
      </c>
      <c r="V36" s="1" t="s">
        <v>35</v>
      </c>
      <c r="W36" s="1" t="s">
        <v>35</v>
      </c>
      <c r="X36" s="1" t="s">
        <v>35</v>
      </c>
      <c r="Y36" s="4" t="str">
        <f>IFERROR(VLOOKUP(F:F,#REF!,2,0),"需要手动检查")</f>
        <v>需要手动检查</v>
      </c>
      <c r="Z36" s="5" t="str">
        <f t="shared" si="0"/>
        <v>否</v>
      </c>
      <c r="AA36" s="6" t="s">
        <v>38</v>
      </c>
    </row>
    <row r="37" customHeight="1" spans="1:27">
      <c r="A37" s="1" t="s">
        <v>204</v>
      </c>
      <c r="B37" s="1" t="s">
        <v>205</v>
      </c>
      <c r="C37" s="1" t="s">
        <v>222</v>
      </c>
      <c r="D37" s="1" t="s">
        <v>223</v>
      </c>
      <c r="E37" s="1" t="s">
        <v>224</v>
      </c>
      <c r="F37" s="1" t="s">
        <v>71</v>
      </c>
      <c r="G37" s="1">
        <v>0</v>
      </c>
      <c r="H37" s="1">
        <v>0</v>
      </c>
      <c r="I37" s="1">
        <v>0</v>
      </c>
      <c r="J37" s="1">
        <v>0</v>
      </c>
      <c r="K37" s="1">
        <v>0</v>
      </c>
      <c r="L37" s="1">
        <v>0</v>
      </c>
      <c r="M37" s="1">
        <v>108</v>
      </c>
      <c r="N37" s="1">
        <v>0</v>
      </c>
      <c r="O37" s="1">
        <v>0</v>
      </c>
      <c r="P37" s="1">
        <v>0</v>
      </c>
      <c r="Q37" s="1">
        <v>0</v>
      </c>
      <c r="R37" s="1">
        <v>0</v>
      </c>
      <c r="S37" s="1">
        <v>0</v>
      </c>
      <c r="T37" s="1">
        <v>0</v>
      </c>
      <c r="U37" s="1" t="s">
        <v>35</v>
      </c>
      <c r="V37" s="1" t="s">
        <v>35</v>
      </c>
      <c r="W37" s="1" t="s">
        <v>35</v>
      </c>
      <c r="X37" s="1" t="s">
        <v>35</v>
      </c>
      <c r="Y37" s="4" t="str">
        <f>IFERROR(VLOOKUP(F:F,#REF!,2,0),"需要手动检查")</f>
        <v>需要手动检查</v>
      </c>
      <c r="Z37" s="5" t="str">
        <f t="shared" si="0"/>
        <v>否</v>
      </c>
      <c r="AA37" s="6" t="s">
        <v>48</v>
      </c>
    </row>
    <row r="38" customHeight="1" spans="1:27">
      <c r="A38" s="1" t="s">
        <v>199</v>
      </c>
      <c r="B38" s="1" t="s">
        <v>200</v>
      </c>
      <c r="C38" s="1" t="s">
        <v>225</v>
      </c>
      <c r="D38" s="1" t="s">
        <v>226</v>
      </c>
      <c r="E38" s="1" t="s">
        <v>227</v>
      </c>
      <c r="F38" s="1" t="s">
        <v>71</v>
      </c>
      <c r="G38" s="1">
        <v>0</v>
      </c>
      <c r="H38" s="1">
        <v>0</v>
      </c>
      <c r="I38" s="1">
        <v>0</v>
      </c>
      <c r="J38" s="1">
        <v>0</v>
      </c>
      <c r="K38" s="1">
        <v>0</v>
      </c>
      <c r="L38" s="1">
        <v>0</v>
      </c>
      <c r="M38" s="1">
        <v>138</v>
      </c>
      <c r="N38" s="1">
        <v>3</v>
      </c>
      <c r="O38" s="1">
        <v>0</v>
      </c>
      <c r="P38" s="1">
        <v>0</v>
      </c>
      <c r="Q38" s="1">
        <v>0</v>
      </c>
      <c r="R38" s="1">
        <v>0</v>
      </c>
      <c r="S38" s="1">
        <v>0</v>
      </c>
      <c r="T38" s="1">
        <v>0</v>
      </c>
      <c r="U38" s="1" t="s">
        <v>35</v>
      </c>
      <c r="V38" s="1" t="s">
        <v>35</v>
      </c>
      <c r="W38" s="1" t="s">
        <v>35</v>
      </c>
      <c r="X38" s="1" t="s">
        <v>35</v>
      </c>
      <c r="Y38" s="4" t="str">
        <f>IFERROR(VLOOKUP(F:F,#REF!,2,0),"需要手动检查")</f>
        <v>需要手动检查</v>
      </c>
      <c r="Z38" s="5" t="str">
        <f t="shared" si="0"/>
        <v>否</v>
      </c>
      <c r="AA38" s="6" t="s">
        <v>38</v>
      </c>
    </row>
    <row r="39" customHeight="1" spans="1:27">
      <c r="A39" s="1" t="s">
        <v>204</v>
      </c>
      <c r="B39" s="1" t="s">
        <v>205</v>
      </c>
      <c r="C39" s="1" t="s">
        <v>228</v>
      </c>
      <c r="D39" s="1" t="s">
        <v>229</v>
      </c>
      <c r="E39" s="1" t="s">
        <v>230</v>
      </c>
      <c r="F39" s="1" t="s">
        <v>71</v>
      </c>
      <c r="G39" s="1">
        <v>0</v>
      </c>
      <c r="H39" s="1">
        <v>0</v>
      </c>
      <c r="I39" s="1">
        <v>0</v>
      </c>
      <c r="J39" s="1">
        <v>0</v>
      </c>
      <c r="K39" s="1">
        <v>0</v>
      </c>
      <c r="L39" s="1">
        <v>0</v>
      </c>
      <c r="M39" s="1">
        <v>6</v>
      </c>
      <c r="N39" s="1">
        <v>0</v>
      </c>
      <c r="O39" s="1">
        <v>0</v>
      </c>
      <c r="P39" s="1">
        <v>0</v>
      </c>
      <c r="Q39" s="1">
        <v>0</v>
      </c>
      <c r="R39" s="1">
        <v>0</v>
      </c>
      <c r="S39" s="1">
        <v>0</v>
      </c>
      <c r="T39" s="1">
        <v>0</v>
      </c>
      <c r="U39" s="1" t="s">
        <v>35</v>
      </c>
      <c r="V39" s="1" t="s">
        <v>35</v>
      </c>
      <c r="W39" s="1" t="s">
        <v>35</v>
      </c>
      <c r="X39" s="1" t="s">
        <v>35</v>
      </c>
      <c r="Y39" s="4" t="str">
        <f>IFERROR(VLOOKUP(F:F,#REF!,2,0),"需要手动检查")</f>
        <v>需要手动检查</v>
      </c>
      <c r="Z39" s="5" t="str">
        <f t="shared" si="0"/>
        <v>否</v>
      </c>
      <c r="AA39" s="6" t="s">
        <v>48</v>
      </c>
    </row>
    <row r="40" customHeight="1" spans="1:27">
      <c r="A40" s="1" t="s">
        <v>204</v>
      </c>
      <c r="B40" s="1" t="s">
        <v>205</v>
      </c>
      <c r="C40" s="1" t="s">
        <v>231</v>
      </c>
      <c r="D40" s="1" t="s">
        <v>232</v>
      </c>
      <c r="E40" s="1" t="s">
        <v>233</v>
      </c>
      <c r="F40" s="1" t="s">
        <v>71</v>
      </c>
      <c r="G40" s="1">
        <v>0</v>
      </c>
      <c r="H40" s="1">
        <v>0</v>
      </c>
      <c r="I40" s="1">
        <v>0</v>
      </c>
      <c r="J40" s="1">
        <v>0</v>
      </c>
      <c r="K40" s="1">
        <v>0</v>
      </c>
      <c r="L40" s="1">
        <v>0</v>
      </c>
      <c r="M40" s="1">
        <v>16</v>
      </c>
      <c r="N40" s="1">
        <v>1</v>
      </c>
      <c r="O40" s="1">
        <v>0</v>
      </c>
      <c r="P40" s="1">
        <v>0</v>
      </c>
      <c r="Q40" s="1">
        <v>0</v>
      </c>
      <c r="R40" s="1">
        <v>0</v>
      </c>
      <c r="S40" s="1">
        <v>0</v>
      </c>
      <c r="T40" s="1">
        <v>0</v>
      </c>
      <c r="U40" s="1" t="s">
        <v>35</v>
      </c>
      <c r="V40" s="1" t="s">
        <v>35</v>
      </c>
      <c r="W40" s="1" t="s">
        <v>35</v>
      </c>
      <c r="X40" s="1" t="s">
        <v>35</v>
      </c>
      <c r="Y40" s="4" t="str">
        <f>IFERROR(VLOOKUP(F:F,#REF!,2,0),"需要手动检查")</f>
        <v>需要手动检查</v>
      </c>
      <c r="Z40" s="5" t="str">
        <f t="shared" si="0"/>
        <v>否</v>
      </c>
      <c r="AA40" s="6" t="s">
        <v>38</v>
      </c>
    </row>
    <row r="41" customHeight="1" spans="1:27">
      <c r="A41" s="1" t="s">
        <v>204</v>
      </c>
      <c r="B41" s="1" t="s">
        <v>205</v>
      </c>
      <c r="C41" s="1" t="s">
        <v>234</v>
      </c>
      <c r="D41" s="1" t="s">
        <v>235</v>
      </c>
      <c r="E41" s="1" t="s">
        <v>236</v>
      </c>
      <c r="F41" s="1" t="s">
        <v>71</v>
      </c>
      <c r="G41" s="1">
        <v>0</v>
      </c>
      <c r="H41" s="1">
        <v>0</v>
      </c>
      <c r="I41" s="1">
        <v>0</v>
      </c>
      <c r="J41" s="1">
        <v>0</v>
      </c>
      <c r="K41" s="1">
        <v>0</v>
      </c>
      <c r="L41" s="1">
        <v>0</v>
      </c>
      <c r="M41" s="1">
        <v>19</v>
      </c>
      <c r="N41" s="1">
        <v>0</v>
      </c>
      <c r="O41" s="1">
        <v>0</v>
      </c>
      <c r="P41" s="1">
        <v>0</v>
      </c>
      <c r="Q41" s="1">
        <v>0</v>
      </c>
      <c r="R41" s="1">
        <v>0</v>
      </c>
      <c r="S41" s="1">
        <v>0</v>
      </c>
      <c r="T41" s="1">
        <v>0</v>
      </c>
      <c r="U41" s="1" t="s">
        <v>35</v>
      </c>
      <c r="V41" s="1" t="s">
        <v>35</v>
      </c>
      <c r="W41" s="1" t="s">
        <v>35</v>
      </c>
      <c r="X41" s="1" t="s">
        <v>35</v>
      </c>
      <c r="Y41" s="4" t="str">
        <f>IFERROR(VLOOKUP(F:F,#REF!,2,0),"需要手动检查")</f>
        <v>需要手动检查</v>
      </c>
      <c r="Z41" s="5" t="str">
        <f t="shared" si="0"/>
        <v>否</v>
      </c>
      <c r="AA41" s="6" t="s">
        <v>48</v>
      </c>
    </row>
    <row r="42" customHeight="1" spans="1:27">
      <c r="A42" s="1" t="s">
        <v>199</v>
      </c>
      <c r="B42" s="1" t="s">
        <v>200</v>
      </c>
      <c r="C42" s="1" t="s">
        <v>212</v>
      </c>
      <c r="D42" s="1" t="s">
        <v>237</v>
      </c>
      <c r="E42" s="1" t="s">
        <v>238</v>
      </c>
      <c r="F42" s="1" t="s">
        <v>71</v>
      </c>
      <c r="G42" s="1">
        <v>0</v>
      </c>
      <c r="H42" s="1">
        <v>0</v>
      </c>
      <c r="I42" s="1">
        <v>0</v>
      </c>
      <c r="J42" s="1">
        <v>0</v>
      </c>
      <c r="K42" s="1">
        <v>0</v>
      </c>
      <c r="L42" s="1">
        <v>0</v>
      </c>
      <c r="M42" s="1">
        <v>5</v>
      </c>
      <c r="N42" s="1">
        <v>0</v>
      </c>
      <c r="O42" s="1">
        <v>0</v>
      </c>
      <c r="P42" s="1">
        <v>0</v>
      </c>
      <c r="Q42" s="1">
        <v>0</v>
      </c>
      <c r="R42" s="1">
        <v>0</v>
      </c>
      <c r="S42" s="1">
        <v>0</v>
      </c>
      <c r="T42" s="1">
        <v>0</v>
      </c>
      <c r="U42" s="1" t="s">
        <v>35</v>
      </c>
      <c r="V42" s="1" t="s">
        <v>35</v>
      </c>
      <c r="W42" s="1" t="s">
        <v>35</v>
      </c>
      <c r="X42" s="1" t="s">
        <v>35</v>
      </c>
      <c r="Y42" s="4" t="str">
        <f>IFERROR(VLOOKUP(F:F,#REF!,2,0),"需要手动检查")</f>
        <v>需要手动检查</v>
      </c>
      <c r="Z42" s="5" t="str">
        <f t="shared" si="0"/>
        <v>否</v>
      </c>
      <c r="AA42" s="6" t="s">
        <v>38</v>
      </c>
    </row>
    <row r="43" customHeight="1" spans="1:27">
      <c r="A43" s="1" t="s">
        <v>175</v>
      </c>
      <c r="B43" s="1" t="s">
        <v>176</v>
      </c>
      <c r="C43" s="1" t="s">
        <v>239</v>
      </c>
      <c r="D43" s="1" t="s">
        <v>240</v>
      </c>
      <c r="E43" s="1" t="s">
        <v>241</v>
      </c>
      <c r="F43" s="1" t="s">
        <v>77</v>
      </c>
      <c r="G43" s="1">
        <v>59</v>
      </c>
      <c r="H43" s="1">
        <v>1</v>
      </c>
      <c r="I43" s="1">
        <v>0</v>
      </c>
      <c r="J43" s="1">
        <v>1</v>
      </c>
      <c r="K43" s="1">
        <v>0</v>
      </c>
      <c r="L43" s="1">
        <v>0</v>
      </c>
      <c r="M43" s="1">
        <v>58</v>
      </c>
      <c r="N43" s="1">
        <v>1</v>
      </c>
      <c r="O43" s="1">
        <v>0</v>
      </c>
      <c r="P43" s="1">
        <v>0</v>
      </c>
      <c r="Q43" s="1">
        <v>0</v>
      </c>
      <c r="R43" s="1">
        <v>0</v>
      </c>
      <c r="S43" s="1">
        <v>0</v>
      </c>
      <c r="T43" s="1">
        <v>0</v>
      </c>
      <c r="U43" s="1" t="s">
        <v>242</v>
      </c>
      <c r="V43" s="1" t="s">
        <v>35</v>
      </c>
      <c r="W43" s="1" t="s">
        <v>243</v>
      </c>
      <c r="X43" s="1" t="s">
        <v>35</v>
      </c>
      <c r="Y43" s="4" t="str">
        <f>IFERROR(VLOOKUP(F:F,#REF!,2,0),"需要手动检查")</f>
        <v>需要手动检查</v>
      </c>
      <c r="Z43" s="5" t="str">
        <f t="shared" si="0"/>
        <v>否</v>
      </c>
      <c r="AA43" s="6" t="s">
        <v>48</v>
      </c>
    </row>
    <row r="44" customHeight="1" spans="1:27">
      <c r="A44" s="1" t="s">
        <v>244</v>
      </c>
      <c r="B44" s="1" t="s">
        <v>245</v>
      </c>
      <c r="C44" s="1" t="s">
        <v>246</v>
      </c>
      <c r="D44" s="1" t="s">
        <v>247</v>
      </c>
      <c r="E44" s="1" t="s">
        <v>248</v>
      </c>
      <c r="F44" s="1" t="s">
        <v>71</v>
      </c>
      <c r="G44" s="1">
        <v>0</v>
      </c>
      <c r="H44" s="1">
        <v>0</v>
      </c>
      <c r="I44" s="1">
        <v>0</v>
      </c>
      <c r="J44" s="1">
        <v>0</v>
      </c>
      <c r="K44" s="1">
        <v>0</v>
      </c>
      <c r="L44" s="1">
        <v>0</v>
      </c>
      <c r="M44" s="1">
        <v>1</v>
      </c>
      <c r="N44" s="1">
        <v>0</v>
      </c>
      <c r="O44" s="1">
        <v>0</v>
      </c>
      <c r="P44" s="1">
        <v>0</v>
      </c>
      <c r="Q44" s="1">
        <v>0</v>
      </c>
      <c r="R44" s="1">
        <v>0</v>
      </c>
      <c r="S44" s="1">
        <v>0</v>
      </c>
      <c r="T44" s="1">
        <v>0</v>
      </c>
      <c r="U44" s="1" t="s">
        <v>35</v>
      </c>
      <c r="V44" s="1" t="s">
        <v>35</v>
      </c>
      <c r="W44" s="1" t="s">
        <v>35</v>
      </c>
      <c r="X44" s="1" t="s">
        <v>35</v>
      </c>
      <c r="Y44" s="4" t="str">
        <f>IFERROR(VLOOKUP(F:F,#REF!,2,0),"需要手动检查")</f>
        <v>需要手动检查</v>
      </c>
      <c r="Z44" s="5" t="str">
        <f t="shared" si="0"/>
        <v>否</v>
      </c>
      <c r="AA44" s="6" t="s">
        <v>38</v>
      </c>
    </row>
    <row r="45" customHeight="1" spans="1:27">
      <c r="A45" s="1" t="s">
        <v>249</v>
      </c>
      <c r="B45" s="1" t="s">
        <v>250</v>
      </c>
      <c r="C45" s="1" t="s">
        <v>251</v>
      </c>
      <c r="D45" s="1" t="s">
        <v>252</v>
      </c>
      <c r="E45" s="1" t="s">
        <v>253</v>
      </c>
      <c r="F45" s="1" t="s">
        <v>71</v>
      </c>
      <c r="G45" s="1">
        <v>0</v>
      </c>
      <c r="H45" s="1">
        <v>0</v>
      </c>
      <c r="I45" s="1">
        <v>0</v>
      </c>
      <c r="J45" s="1">
        <v>0</v>
      </c>
      <c r="K45" s="1">
        <v>0</v>
      </c>
      <c r="L45" s="1">
        <v>0</v>
      </c>
      <c r="M45" s="1">
        <v>1</v>
      </c>
      <c r="N45" s="1">
        <v>0</v>
      </c>
      <c r="O45" s="1">
        <v>0</v>
      </c>
      <c r="P45" s="1">
        <v>0</v>
      </c>
      <c r="Q45" s="1">
        <v>0</v>
      </c>
      <c r="R45" s="1">
        <v>0</v>
      </c>
      <c r="S45" s="1">
        <v>0</v>
      </c>
      <c r="T45" s="1">
        <v>0</v>
      </c>
      <c r="U45" s="1" t="s">
        <v>35</v>
      </c>
      <c r="V45" s="1" t="s">
        <v>35</v>
      </c>
      <c r="W45" s="1" t="s">
        <v>35</v>
      </c>
      <c r="X45" s="1" t="s">
        <v>35</v>
      </c>
      <c r="Y45" s="4" t="str">
        <f>IFERROR(VLOOKUP(F:F,#REF!,2,0),"需要手动检查")</f>
        <v>需要手动检查</v>
      </c>
      <c r="Z45" s="5" t="str">
        <f t="shared" si="0"/>
        <v>否</v>
      </c>
      <c r="AA45" s="6" t="s">
        <v>48</v>
      </c>
    </row>
    <row r="46" customHeight="1" spans="1:27">
      <c r="A46" s="1" t="s">
        <v>254</v>
      </c>
      <c r="B46" s="1" t="s">
        <v>255</v>
      </c>
      <c r="C46" s="1" t="s">
        <v>256</v>
      </c>
      <c r="D46" s="1" t="s">
        <v>257</v>
      </c>
      <c r="E46" s="1" t="s">
        <v>258</v>
      </c>
      <c r="F46" s="1" t="s">
        <v>77</v>
      </c>
      <c r="G46" s="1">
        <v>48</v>
      </c>
      <c r="H46" s="1">
        <v>1</v>
      </c>
      <c r="I46" s="1">
        <v>0</v>
      </c>
      <c r="J46" s="1">
        <v>0</v>
      </c>
      <c r="K46" s="1">
        <v>0</v>
      </c>
      <c r="L46" s="1">
        <v>0</v>
      </c>
      <c r="M46" s="1">
        <v>46</v>
      </c>
      <c r="N46" s="1">
        <v>1</v>
      </c>
      <c r="O46" s="1">
        <v>0</v>
      </c>
      <c r="P46" s="1">
        <v>0</v>
      </c>
      <c r="Q46" s="1">
        <v>0</v>
      </c>
      <c r="R46" s="1">
        <v>0</v>
      </c>
      <c r="S46" s="1">
        <v>0</v>
      </c>
      <c r="T46" s="1">
        <v>0</v>
      </c>
      <c r="U46" s="1" t="s">
        <v>259</v>
      </c>
      <c r="V46" s="1" t="s">
        <v>35</v>
      </c>
      <c r="W46" s="1" t="s">
        <v>260</v>
      </c>
      <c r="X46" s="1" t="s">
        <v>35</v>
      </c>
      <c r="Y46" s="4" t="str">
        <f>IFERROR(VLOOKUP(F:F,#REF!,2,0),"需要手动检查")</f>
        <v>需要手动检查</v>
      </c>
      <c r="Z46" s="5" t="str">
        <f t="shared" si="0"/>
        <v>否</v>
      </c>
      <c r="AA46" s="6" t="s">
        <v>38</v>
      </c>
    </row>
    <row r="47" customHeight="1" spans="1:27">
      <c r="A47" s="1" t="s">
        <v>261</v>
      </c>
      <c r="B47" s="1" t="s">
        <v>262</v>
      </c>
      <c r="C47" s="1" t="s">
        <v>263</v>
      </c>
      <c r="D47" s="1" t="s">
        <v>264</v>
      </c>
      <c r="E47" s="1" t="s">
        <v>265</v>
      </c>
      <c r="F47" s="1" t="s">
        <v>77</v>
      </c>
      <c r="G47" s="1">
        <v>122</v>
      </c>
      <c r="H47" s="1">
        <v>2</v>
      </c>
      <c r="I47" s="1">
        <v>0</v>
      </c>
      <c r="J47" s="1">
        <v>0</v>
      </c>
      <c r="K47" s="1">
        <v>0</v>
      </c>
      <c r="L47" s="1">
        <v>0</v>
      </c>
      <c r="M47" s="1">
        <v>147</v>
      </c>
      <c r="N47" s="1">
        <v>19</v>
      </c>
      <c r="O47" s="1">
        <v>0</v>
      </c>
      <c r="P47" s="1">
        <v>0</v>
      </c>
      <c r="Q47" s="1">
        <v>0</v>
      </c>
      <c r="R47" s="1">
        <v>0</v>
      </c>
      <c r="S47" s="1">
        <v>0</v>
      </c>
      <c r="T47" s="1">
        <v>0</v>
      </c>
      <c r="U47" s="1" t="s">
        <v>266</v>
      </c>
      <c r="V47" s="1" t="s">
        <v>35</v>
      </c>
      <c r="W47" s="1" t="s">
        <v>267</v>
      </c>
      <c r="X47" s="1" t="s">
        <v>35</v>
      </c>
      <c r="Y47" s="4" t="str">
        <f>IFERROR(VLOOKUP(F:F,#REF!,2,0),"需要手动检查")</f>
        <v>需要手动检查</v>
      </c>
      <c r="Z47" s="5" t="str">
        <f t="shared" si="0"/>
        <v>否</v>
      </c>
      <c r="AA47" s="6" t="s">
        <v>48</v>
      </c>
    </row>
    <row r="48" customHeight="1" spans="1:27">
      <c r="A48" s="1" t="s">
        <v>268</v>
      </c>
      <c r="B48" s="1" t="s">
        <v>269</v>
      </c>
      <c r="C48" s="1" t="s">
        <v>270</v>
      </c>
      <c r="D48" s="1" t="s">
        <v>271</v>
      </c>
      <c r="E48" s="1" t="s">
        <v>272</v>
      </c>
      <c r="F48" s="1" t="s">
        <v>161</v>
      </c>
      <c r="G48" s="1">
        <v>2768</v>
      </c>
      <c r="H48" s="1">
        <v>230</v>
      </c>
      <c r="I48" s="1">
        <v>0</v>
      </c>
      <c r="J48" s="1">
        <v>2</v>
      </c>
      <c r="K48" s="1">
        <v>4</v>
      </c>
      <c r="L48" s="1">
        <v>0</v>
      </c>
      <c r="M48" s="1">
        <v>106</v>
      </c>
      <c r="N48" s="1">
        <v>0</v>
      </c>
      <c r="O48" s="1">
        <v>0</v>
      </c>
      <c r="P48" s="1">
        <v>0</v>
      </c>
      <c r="Q48" s="1">
        <v>0</v>
      </c>
      <c r="R48" s="1">
        <v>0</v>
      </c>
      <c r="S48" s="1">
        <v>0</v>
      </c>
      <c r="T48" s="1">
        <v>0</v>
      </c>
      <c r="U48" s="1" t="s">
        <v>35</v>
      </c>
      <c r="V48" s="1" t="s">
        <v>35</v>
      </c>
      <c r="W48" s="1" t="s">
        <v>273</v>
      </c>
      <c r="X48" s="1" t="s">
        <v>35</v>
      </c>
      <c r="Y48" s="4" t="str">
        <f>IFERROR(VLOOKUP(F:F,#REF!,2,0),"需要手动检查")</f>
        <v>需要手动检查</v>
      </c>
      <c r="Z48" s="5" t="str">
        <f t="shared" si="0"/>
        <v>否</v>
      </c>
      <c r="AA48" s="6" t="s">
        <v>38</v>
      </c>
    </row>
    <row r="49" customHeight="1" spans="1:27">
      <c r="A49" s="1" t="s">
        <v>274</v>
      </c>
      <c r="B49" s="1" t="s">
        <v>275</v>
      </c>
      <c r="C49" s="1" t="s">
        <v>276</v>
      </c>
      <c r="D49" s="1" t="s">
        <v>277</v>
      </c>
      <c r="E49" s="1" t="s">
        <v>278</v>
      </c>
      <c r="F49" s="1" t="s">
        <v>54</v>
      </c>
      <c r="G49" s="1">
        <v>118</v>
      </c>
      <c r="H49" s="1">
        <v>0</v>
      </c>
      <c r="I49" s="1">
        <v>0</v>
      </c>
      <c r="J49" s="1">
        <v>0</v>
      </c>
      <c r="K49" s="1">
        <v>0</v>
      </c>
      <c r="L49" s="1">
        <v>0</v>
      </c>
      <c r="M49" s="1">
        <v>142</v>
      </c>
      <c r="N49" s="1">
        <v>3</v>
      </c>
      <c r="O49" s="1">
        <v>0</v>
      </c>
      <c r="P49" s="1">
        <v>0</v>
      </c>
      <c r="Q49" s="1">
        <v>0</v>
      </c>
      <c r="R49" s="1">
        <v>0</v>
      </c>
      <c r="S49" s="1">
        <v>0</v>
      </c>
      <c r="T49" s="1">
        <v>0</v>
      </c>
      <c r="U49" s="1" t="s">
        <v>279</v>
      </c>
      <c r="V49" s="1" t="s">
        <v>35</v>
      </c>
      <c r="W49" s="1" t="s">
        <v>280</v>
      </c>
      <c r="X49" s="1" t="s">
        <v>35</v>
      </c>
      <c r="Y49" s="4" t="str">
        <f>IFERROR(VLOOKUP(F:F,#REF!,2,0),"需要手动检查")</f>
        <v>需要手动检查</v>
      </c>
      <c r="Z49" s="5" t="str">
        <f t="shared" si="0"/>
        <v>否</v>
      </c>
      <c r="AA49" s="6" t="s">
        <v>48</v>
      </c>
    </row>
    <row r="50" customHeight="1" spans="1:27">
      <c r="A50" s="1" t="s">
        <v>281</v>
      </c>
      <c r="B50" s="1" t="s">
        <v>282</v>
      </c>
      <c r="C50" s="1" t="s">
        <v>283</v>
      </c>
      <c r="D50" s="1" t="s">
        <v>284</v>
      </c>
      <c r="E50" s="1" t="s">
        <v>285</v>
      </c>
      <c r="F50" s="1" t="s">
        <v>54</v>
      </c>
      <c r="G50" s="1">
        <v>385</v>
      </c>
      <c r="H50" s="1">
        <v>1</v>
      </c>
      <c r="I50" s="1">
        <v>0</v>
      </c>
      <c r="J50" s="1">
        <v>0</v>
      </c>
      <c r="K50" s="1">
        <v>0</v>
      </c>
      <c r="L50" s="1">
        <v>1</v>
      </c>
      <c r="M50" s="1">
        <v>445</v>
      </c>
      <c r="N50" s="1">
        <v>8</v>
      </c>
      <c r="O50" s="1">
        <v>0</v>
      </c>
      <c r="P50" s="1">
        <v>0</v>
      </c>
      <c r="Q50" s="1">
        <v>0</v>
      </c>
      <c r="R50" s="1">
        <v>0</v>
      </c>
      <c r="S50" s="1">
        <v>0</v>
      </c>
      <c r="T50" s="1">
        <v>0</v>
      </c>
      <c r="U50" s="1" t="s">
        <v>259</v>
      </c>
      <c r="V50" s="1" t="s">
        <v>286</v>
      </c>
      <c r="W50" s="1" t="s">
        <v>35</v>
      </c>
      <c r="X50" s="1" t="s">
        <v>35</v>
      </c>
      <c r="Y50" s="4" t="str">
        <f>IFERROR(VLOOKUP(F:F,#REF!,2,0),"需要手动检查")</f>
        <v>需要手动检查</v>
      </c>
      <c r="Z50" s="5" t="str">
        <f t="shared" si="0"/>
        <v>否</v>
      </c>
      <c r="AA50" s="6" t="s">
        <v>38</v>
      </c>
    </row>
    <row r="51" customHeight="1" spans="1:27">
      <c r="A51" s="1" t="s">
        <v>281</v>
      </c>
      <c r="B51" s="1" t="s">
        <v>282</v>
      </c>
      <c r="C51" s="1" t="s">
        <v>287</v>
      </c>
      <c r="D51" s="1" t="s">
        <v>288</v>
      </c>
      <c r="E51" s="1" t="s">
        <v>289</v>
      </c>
      <c r="F51" s="1" t="s">
        <v>54</v>
      </c>
      <c r="G51" s="1">
        <v>143</v>
      </c>
      <c r="H51" s="1">
        <v>0</v>
      </c>
      <c r="I51" s="1">
        <v>0</v>
      </c>
      <c r="J51" s="1">
        <v>0</v>
      </c>
      <c r="K51" s="1">
        <v>0</v>
      </c>
      <c r="L51" s="1">
        <v>0</v>
      </c>
      <c r="M51" s="1">
        <v>199</v>
      </c>
      <c r="N51" s="1">
        <v>1</v>
      </c>
      <c r="O51" s="1">
        <v>0</v>
      </c>
      <c r="P51" s="1">
        <v>0</v>
      </c>
      <c r="Q51" s="1">
        <v>0</v>
      </c>
      <c r="R51" s="1">
        <v>0</v>
      </c>
      <c r="S51" s="1">
        <v>0</v>
      </c>
      <c r="T51" s="1">
        <v>0</v>
      </c>
      <c r="U51" s="1" t="s">
        <v>192</v>
      </c>
      <c r="V51" s="1" t="s">
        <v>35</v>
      </c>
      <c r="W51" s="1" t="s">
        <v>290</v>
      </c>
      <c r="X51" s="1" t="s">
        <v>35</v>
      </c>
      <c r="Y51" s="4" t="str">
        <f>IFERROR(VLOOKUP(F:F,#REF!,2,0),"需要手动检查")</f>
        <v>需要手动检查</v>
      </c>
      <c r="Z51" s="5" t="str">
        <f t="shared" si="0"/>
        <v>否</v>
      </c>
      <c r="AA51" s="6" t="s">
        <v>48</v>
      </c>
    </row>
    <row r="52" customHeight="1" spans="1:27">
      <c r="A52" s="1" t="s">
        <v>291</v>
      </c>
      <c r="B52" s="1" t="s">
        <v>292</v>
      </c>
      <c r="C52" s="1" t="s">
        <v>293</v>
      </c>
      <c r="D52" s="1" t="s">
        <v>294</v>
      </c>
      <c r="E52" s="1" t="s">
        <v>295</v>
      </c>
      <c r="F52" s="1" t="s">
        <v>44</v>
      </c>
      <c r="G52" s="1">
        <v>851</v>
      </c>
      <c r="H52" s="1">
        <v>2</v>
      </c>
      <c r="I52" s="1">
        <v>0</v>
      </c>
      <c r="J52" s="1">
        <v>0</v>
      </c>
      <c r="K52" s="1">
        <v>0</v>
      </c>
      <c r="L52" s="1">
        <v>0</v>
      </c>
      <c r="M52" s="1">
        <v>238</v>
      </c>
      <c r="N52" s="1">
        <v>8</v>
      </c>
      <c r="O52" s="1">
        <v>0</v>
      </c>
      <c r="P52" s="1">
        <v>0</v>
      </c>
      <c r="Q52" s="1">
        <v>0</v>
      </c>
      <c r="R52" s="1">
        <v>0</v>
      </c>
      <c r="S52" s="1">
        <v>0</v>
      </c>
      <c r="T52" s="1">
        <v>0</v>
      </c>
      <c r="U52" s="1" t="s">
        <v>296</v>
      </c>
      <c r="V52" s="1" t="s">
        <v>35</v>
      </c>
      <c r="W52" s="1" t="s">
        <v>297</v>
      </c>
      <c r="X52" s="1" t="s">
        <v>35</v>
      </c>
      <c r="Y52" s="4" t="str">
        <f>IFERROR(VLOOKUP(F:F,#REF!,2,0),"需要手动检查")</f>
        <v>需要手动检查</v>
      </c>
      <c r="Z52" s="5" t="str">
        <f t="shared" si="0"/>
        <v>否</v>
      </c>
      <c r="AA52" s="6" t="s">
        <v>38</v>
      </c>
    </row>
    <row r="53" customHeight="1" spans="1:27">
      <c r="A53" s="1" t="s">
        <v>298</v>
      </c>
      <c r="B53" s="1" t="s">
        <v>299</v>
      </c>
      <c r="C53" s="1" t="s">
        <v>300</v>
      </c>
      <c r="D53" s="1" t="s">
        <v>301</v>
      </c>
      <c r="E53" s="1" t="s">
        <v>302</v>
      </c>
      <c r="F53" s="1" t="s">
        <v>161</v>
      </c>
      <c r="G53" s="1">
        <v>18</v>
      </c>
      <c r="H53" s="1">
        <v>0</v>
      </c>
      <c r="I53" s="1">
        <v>0</v>
      </c>
      <c r="J53" s="1">
        <v>0</v>
      </c>
      <c r="K53" s="1">
        <v>0</v>
      </c>
      <c r="L53" s="1">
        <v>0</v>
      </c>
      <c r="M53" s="1">
        <v>18</v>
      </c>
      <c r="N53" s="1">
        <v>0</v>
      </c>
      <c r="O53" s="1">
        <v>0</v>
      </c>
      <c r="P53" s="1">
        <v>0</v>
      </c>
      <c r="Q53" s="1">
        <v>0</v>
      </c>
      <c r="R53" s="1">
        <v>0</v>
      </c>
      <c r="S53" s="1">
        <v>0</v>
      </c>
      <c r="T53" s="1">
        <v>0</v>
      </c>
      <c r="U53" s="1" t="s">
        <v>35</v>
      </c>
      <c r="V53" s="1" t="s">
        <v>35</v>
      </c>
      <c r="W53" s="1" t="s">
        <v>108</v>
      </c>
      <c r="X53" s="1" t="s">
        <v>35</v>
      </c>
      <c r="Y53" s="4" t="str">
        <f>IFERROR(VLOOKUP(F:F,#REF!,2,0),"需要手动检查")</f>
        <v>需要手动检查</v>
      </c>
      <c r="Z53" s="5" t="str">
        <f t="shared" si="0"/>
        <v>否</v>
      </c>
      <c r="AA53" s="6" t="s">
        <v>48</v>
      </c>
    </row>
    <row r="54" customHeight="1" spans="1:27">
      <c r="A54" s="1" t="s">
        <v>303</v>
      </c>
      <c r="B54" s="1" t="s">
        <v>304</v>
      </c>
      <c r="C54" s="1" t="s">
        <v>305</v>
      </c>
      <c r="D54" s="1" t="s">
        <v>306</v>
      </c>
      <c r="E54" s="1" t="s">
        <v>307</v>
      </c>
      <c r="F54" s="1" t="s">
        <v>77</v>
      </c>
      <c r="G54" s="1">
        <v>50</v>
      </c>
      <c r="H54" s="1">
        <v>5</v>
      </c>
      <c r="I54" s="1">
        <v>0</v>
      </c>
      <c r="J54" s="1">
        <v>0</v>
      </c>
      <c r="K54" s="1">
        <v>0</v>
      </c>
      <c r="L54" s="1">
        <v>0</v>
      </c>
      <c r="M54" s="1">
        <v>52</v>
      </c>
      <c r="N54" s="1">
        <v>0</v>
      </c>
      <c r="O54" s="1">
        <v>0</v>
      </c>
      <c r="P54" s="1">
        <v>0</v>
      </c>
      <c r="Q54" s="1">
        <v>0</v>
      </c>
      <c r="R54" s="1">
        <v>0</v>
      </c>
      <c r="S54" s="1">
        <v>0</v>
      </c>
      <c r="T54" s="1">
        <v>0</v>
      </c>
      <c r="U54" s="1" t="s">
        <v>35</v>
      </c>
      <c r="V54" s="1" t="s">
        <v>35</v>
      </c>
      <c r="W54" s="1" t="s">
        <v>308</v>
      </c>
      <c r="X54" s="1" t="s">
        <v>35</v>
      </c>
      <c r="Y54" s="4" t="str">
        <f>IFERROR(VLOOKUP(F:F,#REF!,2,0),"需要手动检查")</f>
        <v>需要手动检查</v>
      </c>
      <c r="Z54" s="5" t="str">
        <f t="shared" si="0"/>
        <v>否</v>
      </c>
      <c r="AA54" s="6" t="s">
        <v>38</v>
      </c>
    </row>
    <row r="55" customHeight="1" spans="1:27">
      <c r="A55" s="1" t="s">
        <v>309</v>
      </c>
      <c r="B55" s="1" t="s">
        <v>310</v>
      </c>
      <c r="C55" s="1" t="s">
        <v>311</v>
      </c>
      <c r="D55" s="1" t="s">
        <v>312</v>
      </c>
      <c r="E55" s="1" t="s">
        <v>313</v>
      </c>
      <c r="F55" s="1" t="s">
        <v>71</v>
      </c>
      <c r="G55" s="1">
        <v>0</v>
      </c>
      <c r="H55" s="1">
        <v>0</v>
      </c>
      <c r="I55" s="1">
        <v>0</v>
      </c>
      <c r="J55" s="1">
        <v>0</v>
      </c>
      <c r="K55" s="1">
        <v>0</v>
      </c>
      <c r="L55" s="1">
        <v>0</v>
      </c>
      <c r="M55" s="1">
        <v>1</v>
      </c>
      <c r="N55" s="1">
        <v>0</v>
      </c>
      <c r="O55" s="1">
        <v>0</v>
      </c>
      <c r="P55" s="1">
        <v>0</v>
      </c>
      <c r="Q55" s="1">
        <v>0</v>
      </c>
      <c r="R55" s="1">
        <v>0</v>
      </c>
      <c r="S55" s="1">
        <v>0</v>
      </c>
      <c r="T55" s="1">
        <v>0</v>
      </c>
      <c r="U55" s="1" t="s">
        <v>35</v>
      </c>
      <c r="V55" s="1" t="s">
        <v>35</v>
      </c>
      <c r="W55" s="1" t="s">
        <v>35</v>
      </c>
      <c r="X55" s="1" t="s">
        <v>35</v>
      </c>
      <c r="Y55" s="4" t="str">
        <f>IFERROR(VLOOKUP(F:F,#REF!,2,0),"需要手动检查")</f>
        <v>需要手动检查</v>
      </c>
      <c r="Z55" s="5" t="str">
        <f t="shared" si="0"/>
        <v>否</v>
      </c>
      <c r="AA55" s="6" t="s">
        <v>48</v>
      </c>
    </row>
    <row r="56" customHeight="1" spans="1:27">
      <c r="A56" s="1" t="s">
        <v>314</v>
      </c>
      <c r="B56" s="1" t="s">
        <v>315</v>
      </c>
      <c r="C56" s="1" t="s">
        <v>316</v>
      </c>
      <c r="D56" s="1" t="s">
        <v>317</v>
      </c>
      <c r="E56" s="1" t="s">
        <v>318</v>
      </c>
      <c r="F56" s="1" t="s">
        <v>161</v>
      </c>
      <c r="G56" s="1">
        <v>7</v>
      </c>
      <c r="H56" s="1">
        <v>1</v>
      </c>
      <c r="I56" s="1">
        <v>0</v>
      </c>
      <c r="J56" s="1">
        <v>0</v>
      </c>
      <c r="K56" s="1">
        <v>0</v>
      </c>
      <c r="L56" s="1">
        <v>0</v>
      </c>
      <c r="M56" s="1">
        <v>0</v>
      </c>
      <c r="N56" s="1">
        <v>0</v>
      </c>
      <c r="O56" s="1">
        <v>0</v>
      </c>
      <c r="P56" s="1">
        <v>0</v>
      </c>
      <c r="Q56" s="1">
        <v>0</v>
      </c>
      <c r="R56" s="1">
        <v>0</v>
      </c>
      <c r="S56" s="1">
        <v>0</v>
      </c>
      <c r="T56" s="1">
        <v>0</v>
      </c>
      <c r="U56" s="1" t="s">
        <v>35</v>
      </c>
      <c r="V56" s="1" t="s">
        <v>35</v>
      </c>
      <c r="W56" s="1" t="s">
        <v>35</v>
      </c>
      <c r="X56" s="1" t="s">
        <v>35</v>
      </c>
      <c r="Y56" s="4" t="str">
        <f>IFERROR(VLOOKUP(F:F,#REF!,2,0),"需要手动检查")</f>
        <v>需要手动检查</v>
      </c>
      <c r="Z56" s="5" t="str">
        <f t="shared" si="0"/>
        <v>否</v>
      </c>
      <c r="AA56" s="6" t="s">
        <v>38</v>
      </c>
    </row>
    <row r="57" customHeight="1" spans="1:27">
      <c r="A57" s="1" t="s">
        <v>319</v>
      </c>
      <c r="B57" s="1" t="s">
        <v>320</v>
      </c>
      <c r="C57" s="1" t="s">
        <v>321</v>
      </c>
      <c r="D57" s="1" t="s">
        <v>322</v>
      </c>
      <c r="E57" s="1" t="s">
        <v>323</v>
      </c>
      <c r="F57" s="1" t="s">
        <v>161</v>
      </c>
      <c r="G57" s="1">
        <v>171</v>
      </c>
      <c r="H57" s="1">
        <v>28</v>
      </c>
      <c r="I57" s="1">
        <v>0</v>
      </c>
      <c r="J57" s="1">
        <v>1</v>
      </c>
      <c r="K57" s="1">
        <v>0</v>
      </c>
      <c r="L57" s="1">
        <v>0</v>
      </c>
      <c r="M57" s="1">
        <v>184</v>
      </c>
      <c r="N57" s="1">
        <v>2</v>
      </c>
      <c r="O57" s="1">
        <v>0</v>
      </c>
      <c r="P57" s="1">
        <v>0</v>
      </c>
      <c r="Q57" s="1">
        <v>0</v>
      </c>
      <c r="R57" s="1">
        <v>0</v>
      </c>
      <c r="S57" s="1">
        <v>0</v>
      </c>
      <c r="T57" s="1">
        <v>0</v>
      </c>
      <c r="U57" s="1" t="s">
        <v>324</v>
      </c>
      <c r="V57" s="1" t="s">
        <v>35</v>
      </c>
      <c r="W57" s="1" t="s">
        <v>325</v>
      </c>
      <c r="X57" s="1" t="s">
        <v>35</v>
      </c>
      <c r="Y57" s="4" t="str">
        <f>IFERROR(VLOOKUP(F:F,#REF!,2,0),"需要手动检查")</f>
        <v>需要手动检查</v>
      </c>
      <c r="Z57" s="5" t="str">
        <f t="shared" si="0"/>
        <v>否</v>
      </c>
      <c r="AA57" s="6" t="s">
        <v>48</v>
      </c>
    </row>
    <row r="58" customHeight="1" spans="1:27">
      <c r="A58" s="1" t="s">
        <v>326</v>
      </c>
      <c r="B58" s="1" t="s">
        <v>327</v>
      </c>
      <c r="C58" s="1" t="s">
        <v>328</v>
      </c>
      <c r="D58" s="1" t="s">
        <v>329</v>
      </c>
      <c r="E58" s="1" t="s">
        <v>330</v>
      </c>
      <c r="F58" s="1" t="s">
        <v>54</v>
      </c>
      <c r="G58" s="1">
        <v>17</v>
      </c>
      <c r="H58" s="1">
        <v>0</v>
      </c>
      <c r="I58" s="1">
        <v>0</v>
      </c>
      <c r="J58" s="1">
        <v>0</v>
      </c>
      <c r="K58" s="1">
        <v>0</v>
      </c>
      <c r="L58" s="1">
        <v>0</v>
      </c>
      <c r="M58" s="1">
        <v>41</v>
      </c>
      <c r="N58" s="1">
        <v>1</v>
      </c>
      <c r="O58" s="1">
        <v>0</v>
      </c>
      <c r="P58" s="1">
        <v>0</v>
      </c>
      <c r="Q58" s="1">
        <v>0</v>
      </c>
      <c r="R58" s="1">
        <v>0</v>
      </c>
      <c r="S58" s="1">
        <v>0</v>
      </c>
      <c r="T58" s="1">
        <v>87.38</v>
      </c>
      <c r="U58" s="1" t="s">
        <v>331</v>
      </c>
      <c r="V58" s="1" t="s">
        <v>35</v>
      </c>
      <c r="W58" s="1" t="s">
        <v>35</v>
      </c>
      <c r="X58" s="1" t="s">
        <v>35</v>
      </c>
      <c r="Y58" s="4" t="str">
        <f>IFERROR(VLOOKUP(F:F,#REF!,2,0),"需要手动检查")</f>
        <v>需要手动检查</v>
      </c>
      <c r="Z58" s="5" t="str">
        <f t="shared" si="0"/>
        <v>否</v>
      </c>
      <c r="AA58" s="6" t="s">
        <v>38</v>
      </c>
    </row>
    <row r="59" customHeight="1" spans="1:27">
      <c r="A59" s="1" t="s">
        <v>332</v>
      </c>
      <c r="B59" s="1" t="s">
        <v>333</v>
      </c>
      <c r="C59" s="1" t="s">
        <v>334</v>
      </c>
      <c r="D59" s="1" t="s">
        <v>335</v>
      </c>
      <c r="E59" s="1" t="s">
        <v>336</v>
      </c>
      <c r="F59" s="1" t="s">
        <v>161</v>
      </c>
      <c r="G59" s="1">
        <v>3</v>
      </c>
      <c r="H59" s="1">
        <v>0</v>
      </c>
      <c r="I59" s="1">
        <v>0</v>
      </c>
      <c r="J59" s="1">
        <v>0</v>
      </c>
      <c r="K59" s="1">
        <v>0</v>
      </c>
      <c r="L59" s="1">
        <v>0</v>
      </c>
      <c r="M59" s="1">
        <v>4</v>
      </c>
      <c r="N59" s="1">
        <v>0</v>
      </c>
      <c r="O59" s="1">
        <v>0</v>
      </c>
      <c r="P59" s="1">
        <v>0</v>
      </c>
      <c r="Q59" s="1">
        <v>0</v>
      </c>
      <c r="R59" s="1">
        <v>0</v>
      </c>
      <c r="S59" s="1">
        <v>0</v>
      </c>
      <c r="T59" s="1">
        <v>0</v>
      </c>
      <c r="U59" s="1" t="s">
        <v>35</v>
      </c>
      <c r="V59" s="1" t="s">
        <v>35</v>
      </c>
      <c r="W59" s="1" t="s">
        <v>35</v>
      </c>
      <c r="X59" s="1" t="s">
        <v>35</v>
      </c>
      <c r="Y59" s="4" t="str">
        <f>IFERROR(VLOOKUP(F:F,#REF!,2,0),"需要手动检查")</f>
        <v>需要手动检查</v>
      </c>
      <c r="Z59" s="5" t="str">
        <f t="shared" si="0"/>
        <v>否</v>
      </c>
      <c r="AA59" s="6" t="s">
        <v>48</v>
      </c>
    </row>
    <row r="60" customHeight="1" spans="1:27">
      <c r="A60" s="1" t="s">
        <v>337</v>
      </c>
      <c r="B60" s="1" t="s">
        <v>338</v>
      </c>
      <c r="C60" s="1" t="s">
        <v>339</v>
      </c>
      <c r="D60" s="1" t="s">
        <v>340</v>
      </c>
      <c r="E60" s="1" t="s">
        <v>341</v>
      </c>
      <c r="F60" s="1" t="s">
        <v>161</v>
      </c>
      <c r="G60" s="1">
        <v>9</v>
      </c>
      <c r="H60" s="1">
        <v>1</v>
      </c>
      <c r="I60" s="1">
        <v>0</v>
      </c>
      <c r="J60" s="1">
        <v>0</v>
      </c>
      <c r="K60" s="1">
        <v>0</v>
      </c>
      <c r="L60" s="1">
        <v>0</v>
      </c>
      <c r="M60" s="1">
        <v>7</v>
      </c>
      <c r="N60" s="1">
        <v>1</v>
      </c>
      <c r="O60" s="1">
        <v>0</v>
      </c>
      <c r="P60" s="1">
        <v>0</v>
      </c>
      <c r="Q60" s="1">
        <v>0</v>
      </c>
      <c r="R60" s="1">
        <v>0</v>
      </c>
      <c r="S60" s="1">
        <v>0</v>
      </c>
      <c r="T60" s="1">
        <v>0</v>
      </c>
      <c r="U60" s="1" t="s">
        <v>108</v>
      </c>
      <c r="V60" s="1" t="s">
        <v>35</v>
      </c>
      <c r="W60" s="1" t="s">
        <v>35</v>
      </c>
      <c r="X60" s="1" t="s">
        <v>35</v>
      </c>
      <c r="Y60" s="4" t="str">
        <f>IFERROR(VLOOKUP(F:F,#REF!,2,0),"需要手动检查")</f>
        <v>需要手动检查</v>
      </c>
      <c r="Z60" s="5" t="str">
        <f t="shared" si="0"/>
        <v>否</v>
      </c>
      <c r="AA60" s="6" t="s">
        <v>38</v>
      </c>
    </row>
    <row r="61" customHeight="1" spans="1:27">
      <c r="A61" s="1" t="s">
        <v>342</v>
      </c>
      <c r="B61" s="1" t="s">
        <v>343</v>
      </c>
      <c r="C61" s="1" t="s">
        <v>344</v>
      </c>
      <c r="D61" s="1" t="s">
        <v>345</v>
      </c>
      <c r="E61" s="1" t="s">
        <v>346</v>
      </c>
      <c r="F61" s="1" t="s">
        <v>161</v>
      </c>
      <c r="G61" s="1">
        <v>1</v>
      </c>
      <c r="H61" s="1">
        <v>0</v>
      </c>
      <c r="I61" s="1">
        <v>0</v>
      </c>
      <c r="J61" s="1">
        <v>0</v>
      </c>
      <c r="K61" s="1">
        <v>0</v>
      </c>
      <c r="L61" s="1">
        <v>0</v>
      </c>
      <c r="M61" s="1">
        <v>1</v>
      </c>
      <c r="N61" s="1">
        <v>0</v>
      </c>
      <c r="O61" s="1">
        <v>0</v>
      </c>
      <c r="P61" s="1">
        <v>0</v>
      </c>
      <c r="Q61" s="1">
        <v>0</v>
      </c>
      <c r="R61" s="1">
        <v>0</v>
      </c>
      <c r="S61" s="1">
        <v>0</v>
      </c>
      <c r="T61" s="1">
        <v>0</v>
      </c>
      <c r="U61" s="1" t="s">
        <v>35</v>
      </c>
      <c r="V61" s="1" t="s">
        <v>35</v>
      </c>
      <c r="W61" s="1" t="s">
        <v>35</v>
      </c>
      <c r="X61" s="1" t="s">
        <v>35</v>
      </c>
      <c r="Y61" s="4" t="str">
        <f>IFERROR(VLOOKUP(F:F,#REF!,2,0),"需要手动检查")</f>
        <v>需要手动检查</v>
      </c>
      <c r="Z61" s="5" t="str">
        <f t="shared" si="0"/>
        <v>否</v>
      </c>
      <c r="AA61" s="6" t="s">
        <v>48</v>
      </c>
    </row>
    <row r="62" customHeight="1" spans="1:27">
      <c r="A62" s="1" t="s">
        <v>49</v>
      </c>
      <c r="B62" s="1" t="s">
        <v>50</v>
      </c>
      <c r="C62" s="1" t="s">
        <v>347</v>
      </c>
      <c r="D62" s="1" t="s">
        <v>348</v>
      </c>
      <c r="E62" s="1" t="s">
        <v>349</v>
      </c>
      <c r="F62" s="1" t="s">
        <v>161</v>
      </c>
      <c r="G62" s="1">
        <v>17</v>
      </c>
      <c r="H62" s="1">
        <v>1</v>
      </c>
      <c r="I62" s="1">
        <v>0</v>
      </c>
      <c r="J62" s="1">
        <v>0</v>
      </c>
      <c r="K62" s="1">
        <v>0</v>
      </c>
      <c r="L62" s="1">
        <v>0</v>
      </c>
      <c r="M62" s="1">
        <v>19</v>
      </c>
      <c r="N62" s="1">
        <v>1</v>
      </c>
      <c r="O62" s="1">
        <v>0</v>
      </c>
      <c r="P62" s="1">
        <v>0</v>
      </c>
      <c r="Q62" s="1">
        <v>0</v>
      </c>
      <c r="R62" s="1">
        <v>0</v>
      </c>
      <c r="S62" s="1">
        <v>0</v>
      </c>
      <c r="T62" s="1">
        <v>0</v>
      </c>
      <c r="U62" s="1" t="s">
        <v>331</v>
      </c>
      <c r="V62" s="1" t="s">
        <v>35</v>
      </c>
      <c r="W62" s="1" t="s">
        <v>331</v>
      </c>
      <c r="X62" s="1" t="s">
        <v>35</v>
      </c>
      <c r="Y62" s="4" t="str">
        <f>IFERROR(VLOOKUP(F:F,#REF!,2,0),"需要手动检查")</f>
        <v>需要手动检查</v>
      </c>
      <c r="Z62" s="5" t="str">
        <f t="shared" si="0"/>
        <v>否</v>
      </c>
      <c r="AA62" s="6" t="s">
        <v>38</v>
      </c>
    </row>
    <row r="63" customHeight="1" spans="1:27">
      <c r="A63" s="1" t="s">
        <v>350</v>
      </c>
      <c r="B63" s="1" t="s">
        <v>351</v>
      </c>
      <c r="C63" s="1" t="s">
        <v>352</v>
      </c>
      <c r="D63" s="1" t="s">
        <v>353</v>
      </c>
      <c r="E63" s="1" t="s">
        <v>354</v>
      </c>
      <c r="F63" s="1" t="s">
        <v>161</v>
      </c>
      <c r="G63" s="1">
        <v>3</v>
      </c>
      <c r="H63" s="1">
        <v>0</v>
      </c>
      <c r="I63" s="1">
        <v>0</v>
      </c>
      <c r="J63" s="1">
        <v>0</v>
      </c>
      <c r="K63" s="1">
        <v>0</v>
      </c>
      <c r="L63" s="1">
        <v>0</v>
      </c>
      <c r="M63" s="1">
        <v>3</v>
      </c>
      <c r="N63" s="1">
        <v>0</v>
      </c>
      <c r="O63" s="1">
        <v>0</v>
      </c>
      <c r="P63" s="1">
        <v>0</v>
      </c>
      <c r="Q63" s="1">
        <v>0</v>
      </c>
      <c r="R63" s="1">
        <v>0</v>
      </c>
      <c r="S63" s="1">
        <v>0</v>
      </c>
      <c r="T63" s="1">
        <v>0</v>
      </c>
      <c r="U63" s="1" t="s">
        <v>35</v>
      </c>
      <c r="V63" s="1" t="s">
        <v>35</v>
      </c>
      <c r="W63" s="1" t="s">
        <v>35</v>
      </c>
      <c r="X63" s="1" t="s">
        <v>35</v>
      </c>
      <c r="Y63" s="4" t="str">
        <f>IFERROR(VLOOKUP(F:F,#REF!,2,0),"需要手动检查")</f>
        <v>需要手动检查</v>
      </c>
      <c r="Z63" s="5" t="str">
        <f t="shared" si="0"/>
        <v>否</v>
      </c>
      <c r="AA63" s="6" t="s">
        <v>48</v>
      </c>
    </row>
    <row r="64" customHeight="1" spans="1:27">
      <c r="A64" s="1" t="s">
        <v>355</v>
      </c>
      <c r="B64" s="1" t="s">
        <v>356</v>
      </c>
      <c r="C64" s="1" t="s">
        <v>357</v>
      </c>
      <c r="D64" s="1" t="s">
        <v>358</v>
      </c>
      <c r="E64" s="1" t="s">
        <v>359</v>
      </c>
      <c r="F64" s="1" t="s">
        <v>161</v>
      </c>
      <c r="G64" s="1">
        <v>10</v>
      </c>
      <c r="H64" s="1">
        <v>0</v>
      </c>
      <c r="I64" s="1">
        <v>0</v>
      </c>
      <c r="J64" s="1">
        <v>0</v>
      </c>
      <c r="K64" s="1">
        <v>0</v>
      </c>
      <c r="L64" s="1">
        <v>0</v>
      </c>
      <c r="M64" s="1">
        <v>15</v>
      </c>
      <c r="N64" s="1">
        <v>0</v>
      </c>
      <c r="O64" s="1">
        <v>0</v>
      </c>
      <c r="P64" s="1">
        <v>0</v>
      </c>
      <c r="Q64" s="1">
        <v>0</v>
      </c>
      <c r="R64" s="1">
        <v>0</v>
      </c>
      <c r="S64" s="1">
        <v>0</v>
      </c>
      <c r="T64" s="1">
        <v>0</v>
      </c>
      <c r="U64" s="1" t="s">
        <v>35</v>
      </c>
      <c r="V64" s="1" t="s">
        <v>35</v>
      </c>
      <c r="W64" s="1" t="s">
        <v>360</v>
      </c>
      <c r="X64" s="1" t="s">
        <v>35</v>
      </c>
      <c r="Y64" s="4" t="str">
        <f>IFERROR(VLOOKUP(F:F,#REF!,2,0),"需要手动检查")</f>
        <v>需要手动检查</v>
      </c>
      <c r="Z64" s="5" t="str">
        <f t="shared" si="0"/>
        <v>否</v>
      </c>
      <c r="AA64" s="6" t="s">
        <v>38</v>
      </c>
    </row>
    <row r="65" customHeight="1" spans="1:27">
      <c r="A65" s="1" t="s">
        <v>361</v>
      </c>
      <c r="B65" s="1" t="s">
        <v>362</v>
      </c>
      <c r="C65" s="1" t="s">
        <v>363</v>
      </c>
      <c r="D65" s="1" t="s">
        <v>364</v>
      </c>
      <c r="E65" s="1" t="s">
        <v>365</v>
      </c>
      <c r="F65" s="1" t="s">
        <v>161</v>
      </c>
      <c r="G65" s="1">
        <v>41</v>
      </c>
      <c r="H65" s="1">
        <v>0</v>
      </c>
      <c r="I65" s="1">
        <v>0</v>
      </c>
      <c r="J65" s="1">
        <v>0</v>
      </c>
      <c r="K65" s="1">
        <v>0</v>
      </c>
      <c r="L65" s="1">
        <v>0</v>
      </c>
      <c r="M65" s="1">
        <v>52</v>
      </c>
      <c r="N65" s="1">
        <v>4</v>
      </c>
      <c r="O65" s="1">
        <v>0</v>
      </c>
      <c r="P65" s="1">
        <v>0</v>
      </c>
      <c r="Q65" s="1">
        <v>0</v>
      </c>
      <c r="R65" s="1">
        <v>0</v>
      </c>
      <c r="S65" s="1">
        <v>0</v>
      </c>
      <c r="T65" s="1">
        <v>0</v>
      </c>
      <c r="U65" s="1" t="s">
        <v>366</v>
      </c>
      <c r="V65" s="1" t="s">
        <v>35</v>
      </c>
      <c r="W65" s="1" t="s">
        <v>366</v>
      </c>
      <c r="X65" s="1" t="s">
        <v>35</v>
      </c>
      <c r="Y65" s="4" t="str">
        <f>IFERROR(VLOOKUP(F:F,#REF!,2,0),"需要手动检查")</f>
        <v>需要手动检查</v>
      </c>
      <c r="Z65" s="5" t="str">
        <f t="shared" si="0"/>
        <v>否</v>
      </c>
      <c r="AA65" s="6" t="s">
        <v>48</v>
      </c>
    </row>
    <row r="66" customHeight="1" spans="1:27">
      <c r="A66" s="1" t="s">
        <v>367</v>
      </c>
      <c r="B66" s="1" t="s">
        <v>368</v>
      </c>
      <c r="C66" s="1" t="s">
        <v>369</v>
      </c>
      <c r="D66" s="1" t="s">
        <v>370</v>
      </c>
      <c r="E66" s="1" t="s">
        <v>371</v>
      </c>
      <c r="F66" s="1" t="s">
        <v>77</v>
      </c>
      <c r="G66" s="1">
        <v>15</v>
      </c>
      <c r="H66" s="1">
        <v>0</v>
      </c>
      <c r="I66" s="1">
        <v>0</v>
      </c>
      <c r="J66" s="1">
        <v>0</v>
      </c>
      <c r="K66" s="1">
        <v>0</v>
      </c>
      <c r="L66" s="1">
        <v>0</v>
      </c>
      <c r="M66" s="1">
        <v>20</v>
      </c>
      <c r="N66" s="1">
        <v>0</v>
      </c>
      <c r="O66" s="1">
        <v>0</v>
      </c>
      <c r="P66" s="1">
        <v>0</v>
      </c>
      <c r="Q66" s="1">
        <v>0</v>
      </c>
      <c r="R66" s="1">
        <v>0</v>
      </c>
      <c r="S66" s="1">
        <v>0</v>
      </c>
      <c r="T66" s="1">
        <v>0</v>
      </c>
      <c r="U66" s="1" t="s">
        <v>35</v>
      </c>
      <c r="V66" s="1" t="s">
        <v>35</v>
      </c>
      <c r="W66" s="1" t="s">
        <v>372</v>
      </c>
      <c r="X66" s="1" t="s">
        <v>35</v>
      </c>
      <c r="Y66" s="4" t="str">
        <f>IFERROR(VLOOKUP(F:F,#REF!,2,0),"需要手动检查")</f>
        <v>需要手动检查</v>
      </c>
      <c r="Z66" s="5" t="str">
        <f t="shared" si="0"/>
        <v>否</v>
      </c>
      <c r="AA66" s="6" t="s">
        <v>38</v>
      </c>
    </row>
    <row r="67" customHeight="1" spans="1:27">
      <c r="A67" s="1" t="s">
        <v>373</v>
      </c>
      <c r="B67" s="1" t="s">
        <v>374</v>
      </c>
      <c r="C67" s="1" t="s">
        <v>71</v>
      </c>
      <c r="D67" s="1" t="s">
        <v>375</v>
      </c>
      <c r="E67" s="1" t="s">
        <v>376</v>
      </c>
      <c r="F67" s="1" t="s">
        <v>161</v>
      </c>
      <c r="G67" s="1">
        <v>3</v>
      </c>
      <c r="H67" s="1">
        <v>0</v>
      </c>
      <c r="I67" s="1">
        <v>0</v>
      </c>
      <c r="J67" s="1">
        <v>0</v>
      </c>
      <c r="K67" s="1">
        <v>0</v>
      </c>
      <c r="L67" s="1">
        <v>0</v>
      </c>
      <c r="M67" s="1">
        <v>3</v>
      </c>
      <c r="N67" s="1">
        <v>0</v>
      </c>
      <c r="O67" s="1">
        <v>0</v>
      </c>
      <c r="P67" s="1">
        <v>0</v>
      </c>
      <c r="Q67" s="1">
        <v>0</v>
      </c>
      <c r="R67" s="1">
        <v>0</v>
      </c>
      <c r="S67" s="1">
        <v>0</v>
      </c>
      <c r="T67" s="1">
        <v>0</v>
      </c>
      <c r="U67" s="1" t="s">
        <v>35</v>
      </c>
      <c r="V67" s="1" t="s">
        <v>35</v>
      </c>
      <c r="W67" s="1" t="s">
        <v>35</v>
      </c>
      <c r="X67" s="1" t="s">
        <v>35</v>
      </c>
      <c r="Y67" s="4" t="str">
        <f>IFERROR(VLOOKUP(F:F,#REF!,2,0),"需要手动检查")</f>
        <v>需要手动检查</v>
      </c>
      <c r="Z67" s="5" t="str">
        <f t="shared" si="0"/>
        <v>否</v>
      </c>
      <c r="AA67" s="6" t="s">
        <v>48</v>
      </c>
    </row>
    <row r="68" customHeight="1" spans="1:27">
      <c r="A68" s="1" t="s">
        <v>175</v>
      </c>
      <c r="B68" s="1" t="s">
        <v>176</v>
      </c>
      <c r="C68" s="1" t="s">
        <v>377</v>
      </c>
      <c r="D68" s="1" t="s">
        <v>378</v>
      </c>
      <c r="E68" s="1" t="s">
        <v>379</v>
      </c>
      <c r="F68" s="1" t="s">
        <v>77</v>
      </c>
      <c r="G68" s="1">
        <v>1</v>
      </c>
      <c r="H68" s="1">
        <v>0</v>
      </c>
      <c r="I68" s="1">
        <v>0</v>
      </c>
      <c r="J68" s="1">
        <v>0</v>
      </c>
      <c r="K68" s="1">
        <v>0</v>
      </c>
      <c r="L68" s="1">
        <v>0</v>
      </c>
      <c r="M68" s="1">
        <v>1</v>
      </c>
      <c r="N68" s="1">
        <v>0</v>
      </c>
      <c r="O68" s="1">
        <v>0</v>
      </c>
      <c r="P68" s="1">
        <v>0</v>
      </c>
      <c r="Q68" s="1">
        <v>0</v>
      </c>
      <c r="R68" s="1">
        <v>0</v>
      </c>
      <c r="S68" s="1">
        <v>0</v>
      </c>
      <c r="T68" s="1">
        <v>0</v>
      </c>
      <c r="U68" s="1" t="s">
        <v>35</v>
      </c>
      <c r="V68" s="1" t="s">
        <v>35</v>
      </c>
      <c r="W68" s="1" t="s">
        <v>35</v>
      </c>
      <c r="X68" s="1" t="s">
        <v>35</v>
      </c>
      <c r="Y68" s="4" t="str">
        <f>IFERROR(VLOOKUP(F:F,#REF!,2,0),"需要手动检查")</f>
        <v>需要手动检查</v>
      </c>
      <c r="Z68" s="5" t="str">
        <f t="shared" si="0"/>
        <v>否</v>
      </c>
      <c r="AA68" s="6" t="s">
        <v>38</v>
      </c>
    </row>
    <row r="69" customHeight="1" spans="1:27">
      <c r="A69" s="1" t="s">
        <v>380</v>
      </c>
      <c r="B69" s="1" t="s">
        <v>381</v>
      </c>
      <c r="C69" s="1" t="s">
        <v>382</v>
      </c>
      <c r="D69" s="1" t="s">
        <v>383</v>
      </c>
      <c r="E69" s="1" t="s">
        <v>384</v>
      </c>
      <c r="F69" s="1" t="s">
        <v>161</v>
      </c>
      <c r="G69" s="1">
        <v>2</v>
      </c>
      <c r="H69" s="1">
        <v>0</v>
      </c>
      <c r="I69" s="1">
        <v>0</v>
      </c>
      <c r="J69" s="1">
        <v>0</v>
      </c>
      <c r="K69" s="1">
        <v>0</v>
      </c>
      <c r="L69" s="1">
        <v>0</v>
      </c>
      <c r="M69" s="1">
        <v>4</v>
      </c>
      <c r="N69" s="1">
        <v>0</v>
      </c>
      <c r="O69" s="1">
        <v>0</v>
      </c>
      <c r="P69" s="1">
        <v>0</v>
      </c>
      <c r="Q69" s="1">
        <v>0</v>
      </c>
      <c r="R69" s="1">
        <v>0</v>
      </c>
      <c r="S69" s="1">
        <v>0</v>
      </c>
      <c r="T69" s="1">
        <v>0</v>
      </c>
      <c r="U69" s="1" t="s">
        <v>35</v>
      </c>
      <c r="V69" s="1" t="s">
        <v>35</v>
      </c>
      <c r="W69" s="1" t="s">
        <v>35</v>
      </c>
      <c r="X69" s="1" t="s">
        <v>35</v>
      </c>
      <c r="Y69" s="4" t="str">
        <f>IFERROR(VLOOKUP(F:F,#REF!,2,0),"需要手动检查")</f>
        <v>需要手动检查</v>
      </c>
      <c r="Z69" s="5" t="str">
        <f t="shared" ref="Z69:Z132" si="1">IF(R69&gt;0,"是","否")</f>
        <v>否</v>
      </c>
      <c r="AA69" s="6" t="s">
        <v>48</v>
      </c>
    </row>
    <row r="70" customHeight="1" spans="1:27">
      <c r="A70" s="1" t="s">
        <v>385</v>
      </c>
      <c r="B70" s="1" t="s">
        <v>386</v>
      </c>
      <c r="C70" s="1" t="s">
        <v>387</v>
      </c>
      <c r="D70" s="1" t="s">
        <v>388</v>
      </c>
      <c r="E70" s="1" t="s">
        <v>389</v>
      </c>
      <c r="F70" s="1" t="s">
        <v>161</v>
      </c>
      <c r="G70" s="1">
        <v>1</v>
      </c>
      <c r="H70" s="1">
        <v>0</v>
      </c>
      <c r="I70" s="1">
        <v>0</v>
      </c>
      <c r="J70" s="1">
        <v>0</v>
      </c>
      <c r="K70" s="1">
        <v>0</v>
      </c>
      <c r="L70" s="1">
        <v>0</v>
      </c>
      <c r="M70" s="1">
        <v>1</v>
      </c>
      <c r="N70" s="1">
        <v>0</v>
      </c>
      <c r="O70" s="1">
        <v>0</v>
      </c>
      <c r="P70" s="1">
        <v>0</v>
      </c>
      <c r="Q70" s="1">
        <v>0</v>
      </c>
      <c r="R70" s="1">
        <v>0</v>
      </c>
      <c r="S70" s="1">
        <v>0</v>
      </c>
      <c r="T70" s="1">
        <v>0</v>
      </c>
      <c r="U70" s="1" t="s">
        <v>35</v>
      </c>
      <c r="V70" s="1" t="s">
        <v>35</v>
      </c>
      <c r="W70" s="1" t="s">
        <v>35</v>
      </c>
      <c r="X70" s="1" t="s">
        <v>35</v>
      </c>
      <c r="Y70" s="4" t="str">
        <f>IFERROR(VLOOKUP(F:F,#REF!,2,0),"需要手动检查")</f>
        <v>需要手动检查</v>
      </c>
      <c r="Z70" s="5" t="str">
        <f t="shared" si="1"/>
        <v>否</v>
      </c>
      <c r="AA70" s="6" t="s">
        <v>38</v>
      </c>
    </row>
    <row r="71" customHeight="1" spans="1:27">
      <c r="A71" s="1" t="s">
        <v>390</v>
      </c>
      <c r="B71" s="1" t="s">
        <v>391</v>
      </c>
      <c r="C71" s="1" t="s">
        <v>392</v>
      </c>
      <c r="D71" s="1" t="s">
        <v>393</v>
      </c>
      <c r="E71" s="1" t="s">
        <v>394</v>
      </c>
      <c r="F71" s="1" t="s">
        <v>77</v>
      </c>
      <c r="G71" s="1">
        <v>1</v>
      </c>
      <c r="H71" s="1">
        <v>0</v>
      </c>
      <c r="I71" s="1">
        <v>0</v>
      </c>
      <c r="J71" s="1">
        <v>0</v>
      </c>
      <c r="K71" s="1">
        <v>0</v>
      </c>
      <c r="L71" s="1">
        <v>0</v>
      </c>
      <c r="M71" s="1">
        <v>1</v>
      </c>
      <c r="N71" s="1">
        <v>0</v>
      </c>
      <c r="O71" s="1">
        <v>0</v>
      </c>
      <c r="P71" s="1">
        <v>0</v>
      </c>
      <c r="Q71" s="1">
        <v>0</v>
      </c>
      <c r="R71" s="1">
        <v>0</v>
      </c>
      <c r="S71" s="1">
        <v>0</v>
      </c>
      <c r="T71" s="1">
        <v>0</v>
      </c>
      <c r="U71" s="1" t="s">
        <v>35</v>
      </c>
      <c r="V71" s="1" t="s">
        <v>35</v>
      </c>
      <c r="W71" s="1" t="s">
        <v>35</v>
      </c>
      <c r="X71" s="1" t="s">
        <v>35</v>
      </c>
      <c r="Y71" s="4" t="str">
        <f>IFERROR(VLOOKUP(F:F,#REF!,2,0),"需要手动检查")</f>
        <v>需要手动检查</v>
      </c>
      <c r="Z71" s="5" t="str">
        <f t="shared" si="1"/>
        <v>否</v>
      </c>
      <c r="AA71" s="6" t="s">
        <v>48</v>
      </c>
    </row>
    <row r="72" customHeight="1" spans="1:27">
      <c r="A72" s="1" t="s">
        <v>395</v>
      </c>
      <c r="B72" s="1" t="s">
        <v>396</v>
      </c>
      <c r="C72" s="1" t="s">
        <v>397</v>
      </c>
      <c r="D72" s="1" t="s">
        <v>398</v>
      </c>
      <c r="E72" s="1" t="s">
        <v>399</v>
      </c>
      <c r="F72" s="1" t="s">
        <v>161</v>
      </c>
      <c r="G72" s="1">
        <v>1</v>
      </c>
      <c r="H72" s="1">
        <v>0</v>
      </c>
      <c r="I72" s="1">
        <v>0</v>
      </c>
      <c r="J72" s="1">
        <v>0</v>
      </c>
      <c r="K72" s="1">
        <v>0</v>
      </c>
      <c r="L72" s="1">
        <v>0</v>
      </c>
      <c r="M72" s="1">
        <v>9</v>
      </c>
      <c r="N72" s="1">
        <v>0</v>
      </c>
      <c r="O72" s="1">
        <v>0</v>
      </c>
      <c r="P72" s="1">
        <v>0</v>
      </c>
      <c r="Q72" s="1">
        <v>0</v>
      </c>
      <c r="R72" s="1">
        <v>0</v>
      </c>
      <c r="S72" s="1">
        <v>0</v>
      </c>
      <c r="T72" s="1">
        <v>0</v>
      </c>
      <c r="U72" s="1" t="s">
        <v>35</v>
      </c>
      <c r="V72" s="1" t="s">
        <v>35</v>
      </c>
      <c r="W72" s="1" t="s">
        <v>35</v>
      </c>
      <c r="X72" s="1" t="s">
        <v>35</v>
      </c>
      <c r="Y72" s="4" t="str">
        <f>IFERROR(VLOOKUP(F:F,#REF!,2,0),"需要手动检查")</f>
        <v>需要手动检查</v>
      </c>
      <c r="Z72" s="5" t="str">
        <f t="shared" si="1"/>
        <v>否</v>
      </c>
      <c r="AA72" s="6" t="s">
        <v>38</v>
      </c>
    </row>
    <row r="73" customHeight="1" spans="1:27">
      <c r="A73" s="1" t="s">
        <v>400</v>
      </c>
      <c r="B73" s="1" t="s">
        <v>401</v>
      </c>
      <c r="C73" s="1" t="s">
        <v>402</v>
      </c>
      <c r="D73" s="1" t="s">
        <v>403</v>
      </c>
      <c r="E73" s="1" t="s">
        <v>404</v>
      </c>
      <c r="F73" s="1" t="s">
        <v>161</v>
      </c>
      <c r="G73" s="1">
        <v>1</v>
      </c>
      <c r="H73" s="1">
        <v>0</v>
      </c>
      <c r="I73" s="1">
        <v>0</v>
      </c>
      <c r="J73" s="1">
        <v>0</v>
      </c>
      <c r="K73" s="1">
        <v>0</v>
      </c>
      <c r="L73" s="1">
        <v>0</v>
      </c>
      <c r="M73" s="1">
        <v>1</v>
      </c>
      <c r="N73" s="1">
        <v>0</v>
      </c>
      <c r="O73" s="1">
        <v>0</v>
      </c>
      <c r="P73" s="1">
        <v>0</v>
      </c>
      <c r="Q73" s="1">
        <v>0</v>
      </c>
      <c r="R73" s="1">
        <v>0</v>
      </c>
      <c r="S73" s="1">
        <v>0</v>
      </c>
      <c r="T73" s="1">
        <v>0</v>
      </c>
      <c r="U73" s="1" t="s">
        <v>35</v>
      </c>
      <c r="V73" s="1" t="s">
        <v>35</v>
      </c>
      <c r="W73" s="1" t="s">
        <v>35</v>
      </c>
      <c r="X73" s="1" t="s">
        <v>35</v>
      </c>
      <c r="Y73" s="4" t="str">
        <f>IFERROR(VLOOKUP(F:F,#REF!,2,0),"需要手动检查")</f>
        <v>需要手动检查</v>
      </c>
      <c r="Z73" s="5" t="str">
        <f t="shared" si="1"/>
        <v>否</v>
      </c>
      <c r="AA73" s="6" t="s">
        <v>48</v>
      </c>
    </row>
    <row r="74" customHeight="1" spans="1:27">
      <c r="A74" s="1" t="s">
        <v>395</v>
      </c>
      <c r="B74" s="1" t="s">
        <v>396</v>
      </c>
      <c r="C74" s="1" t="s">
        <v>405</v>
      </c>
      <c r="D74" s="1" t="s">
        <v>406</v>
      </c>
      <c r="E74" s="1" t="s">
        <v>407</v>
      </c>
      <c r="F74" s="1" t="s">
        <v>161</v>
      </c>
      <c r="G74" s="1">
        <v>0</v>
      </c>
      <c r="H74" s="1">
        <v>0</v>
      </c>
      <c r="I74" s="1">
        <v>0</v>
      </c>
      <c r="J74" s="1">
        <v>0</v>
      </c>
      <c r="K74" s="1">
        <v>0</v>
      </c>
      <c r="L74" s="1">
        <v>0</v>
      </c>
      <c r="M74" s="1">
        <v>2</v>
      </c>
      <c r="N74" s="1">
        <v>0</v>
      </c>
      <c r="O74" s="1">
        <v>0</v>
      </c>
      <c r="P74" s="1">
        <v>0</v>
      </c>
      <c r="Q74" s="1">
        <v>0</v>
      </c>
      <c r="R74" s="1">
        <v>0</v>
      </c>
      <c r="S74" s="1">
        <v>0</v>
      </c>
      <c r="T74" s="1">
        <v>0</v>
      </c>
      <c r="U74" s="1" t="s">
        <v>35</v>
      </c>
      <c r="V74" s="1" t="s">
        <v>35</v>
      </c>
      <c r="W74" s="1" t="s">
        <v>35</v>
      </c>
      <c r="X74" s="1" t="s">
        <v>35</v>
      </c>
      <c r="Y74" s="4" t="str">
        <f>IFERROR(VLOOKUP(F:F,#REF!,2,0),"需要手动检查")</f>
        <v>需要手动检查</v>
      </c>
      <c r="Z74" s="5" t="str">
        <f t="shared" si="1"/>
        <v>否</v>
      </c>
      <c r="AA74" s="6" t="s">
        <v>38</v>
      </c>
    </row>
    <row r="75" customHeight="1" spans="1:27">
      <c r="A75" s="1" t="s">
        <v>408</v>
      </c>
      <c r="B75" s="1" t="s">
        <v>409</v>
      </c>
      <c r="C75" s="1" t="s">
        <v>71</v>
      </c>
      <c r="D75" s="1" t="s">
        <v>410</v>
      </c>
      <c r="E75" s="1" t="s">
        <v>411</v>
      </c>
      <c r="F75" s="1" t="s">
        <v>161</v>
      </c>
      <c r="G75" s="1">
        <v>2</v>
      </c>
      <c r="H75" s="1">
        <v>0</v>
      </c>
      <c r="I75" s="1">
        <v>0</v>
      </c>
      <c r="J75" s="1">
        <v>0</v>
      </c>
      <c r="K75" s="1">
        <v>0</v>
      </c>
      <c r="L75" s="1">
        <v>0</v>
      </c>
      <c r="M75" s="1">
        <v>1</v>
      </c>
      <c r="N75" s="1">
        <v>1</v>
      </c>
      <c r="O75" s="1">
        <v>0</v>
      </c>
      <c r="P75" s="1">
        <v>0</v>
      </c>
      <c r="Q75" s="1">
        <v>0</v>
      </c>
      <c r="R75" s="1">
        <v>0</v>
      </c>
      <c r="S75" s="1">
        <v>0</v>
      </c>
      <c r="T75" s="1">
        <v>0</v>
      </c>
      <c r="U75" s="1" t="s">
        <v>412</v>
      </c>
      <c r="V75" s="1" t="s">
        <v>35</v>
      </c>
      <c r="W75" s="1" t="s">
        <v>413</v>
      </c>
      <c r="X75" s="1" t="s">
        <v>35</v>
      </c>
      <c r="Y75" s="4" t="str">
        <f>IFERROR(VLOOKUP(F:F,#REF!,2,0),"需要手动检查")</f>
        <v>需要手动检查</v>
      </c>
      <c r="Z75" s="5" t="str">
        <f t="shared" si="1"/>
        <v>否</v>
      </c>
      <c r="AA75" s="6" t="s">
        <v>48</v>
      </c>
    </row>
    <row r="76" customHeight="1" spans="1:27">
      <c r="A76" s="1" t="s">
        <v>414</v>
      </c>
      <c r="B76" s="1" t="s">
        <v>415</v>
      </c>
      <c r="C76" s="1" t="s">
        <v>416</v>
      </c>
      <c r="D76" s="1" t="s">
        <v>417</v>
      </c>
      <c r="E76" s="1" t="s">
        <v>418</v>
      </c>
      <c r="F76" s="1" t="s">
        <v>77</v>
      </c>
      <c r="G76" s="1">
        <v>8</v>
      </c>
      <c r="H76" s="1">
        <v>0</v>
      </c>
      <c r="I76" s="1">
        <v>0</v>
      </c>
      <c r="J76" s="1">
        <v>0</v>
      </c>
      <c r="K76" s="1">
        <v>0</v>
      </c>
      <c r="L76" s="1">
        <v>0</v>
      </c>
      <c r="M76" s="1">
        <v>3</v>
      </c>
      <c r="N76" s="1">
        <v>0</v>
      </c>
      <c r="O76" s="1">
        <v>0</v>
      </c>
      <c r="P76" s="1">
        <v>0</v>
      </c>
      <c r="Q76" s="1">
        <v>0</v>
      </c>
      <c r="R76" s="1">
        <v>0</v>
      </c>
      <c r="S76" s="1">
        <v>0</v>
      </c>
      <c r="T76" s="1">
        <v>0</v>
      </c>
      <c r="U76" s="1" t="s">
        <v>35</v>
      </c>
      <c r="V76" s="1" t="s">
        <v>35</v>
      </c>
      <c r="W76" s="1" t="s">
        <v>35</v>
      </c>
      <c r="X76" s="1" t="s">
        <v>35</v>
      </c>
      <c r="Y76" s="4" t="str">
        <f>IFERROR(VLOOKUP(F:F,#REF!,2,0),"需要手动检查")</f>
        <v>需要手动检查</v>
      </c>
      <c r="Z76" s="5" t="str">
        <f t="shared" si="1"/>
        <v>否</v>
      </c>
      <c r="AA76" s="6" t="s">
        <v>38</v>
      </c>
    </row>
    <row r="77" customHeight="1" spans="1:27">
      <c r="A77" s="1" t="s">
        <v>419</v>
      </c>
      <c r="B77" s="1" t="s">
        <v>420</v>
      </c>
      <c r="C77" s="1" t="s">
        <v>421</v>
      </c>
      <c r="D77" s="1" t="s">
        <v>422</v>
      </c>
      <c r="E77" s="1" t="s">
        <v>423</v>
      </c>
      <c r="F77" s="1" t="s">
        <v>161</v>
      </c>
      <c r="G77" s="1">
        <v>76</v>
      </c>
      <c r="H77" s="1">
        <v>0</v>
      </c>
      <c r="I77" s="1">
        <v>0</v>
      </c>
      <c r="J77" s="1">
        <v>0</v>
      </c>
      <c r="K77" s="1">
        <v>0</v>
      </c>
      <c r="L77" s="1">
        <v>0</v>
      </c>
      <c r="M77" s="1">
        <v>78</v>
      </c>
      <c r="N77" s="1">
        <v>24</v>
      </c>
      <c r="O77" s="1">
        <v>0</v>
      </c>
      <c r="P77" s="1">
        <v>0</v>
      </c>
      <c r="Q77" s="1">
        <v>0</v>
      </c>
      <c r="R77" s="1">
        <v>0</v>
      </c>
      <c r="S77" s="1">
        <v>0</v>
      </c>
      <c r="T77" s="1">
        <v>0</v>
      </c>
      <c r="U77" s="1" t="s">
        <v>424</v>
      </c>
      <c r="V77" s="1" t="s">
        <v>35</v>
      </c>
      <c r="W77" s="1" t="s">
        <v>35</v>
      </c>
      <c r="X77" s="1" t="s">
        <v>35</v>
      </c>
      <c r="Y77" s="4" t="str">
        <f>IFERROR(VLOOKUP(F:F,#REF!,2,0),"需要手动检查")</f>
        <v>需要手动检查</v>
      </c>
      <c r="Z77" s="5" t="str">
        <f t="shared" si="1"/>
        <v>否</v>
      </c>
      <c r="AA77" s="6" t="s">
        <v>48</v>
      </c>
    </row>
    <row r="78" customHeight="1" spans="1:27">
      <c r="A78" s="1" t="s">
        <v>425</v>
      </c>
      <c r="B78" s="1" t="s">
        <v>426</v>
      </c>
      <c r="C78" s="1" t="s">
        <v>427</v>
      </c>
      <c r="D78" s="1" t="s">
        <v>428</v>
      </c>
      <c r="E78" s="1" t="s">
        <v>429</v>
      </c>
      <c r="F78" s="1" t="s">
        <v>161</v>
      </c>
      <c r="G78" s="1">
        <v>9</v>
      </c>
      <c r="H78" s="1">
        <v>0</v>
      </c>
      <c r="I78" s="1">
        <v>0</v>
      </c>
      <c r="J78" s="1">
        <v>0</v>
      </c>
      <c r="K78" s="1">
        <v>0</v>
      </c>
      <c r="L78" s="1">
        <v>0</v>
      </c>
      <c r="M78" s="1">
        <v>13</v>
      </c>
      <c r="N78" s="1">
        <v>0</v>
      </c>
      <c r="O78" s="1">
        <v>0</v>
      </c>
      <c r="P78" s="1">
        <v>0</v>
      </c>
      <c r="Q78" s="1">
        <v>0</v>
      </c>
      <c r="R78" s="1">
        <v>0</v>
      </c>
      <c r="S78" s="1">
        <v>0</v>
      </c>
      <c r="T78" s="1">
        <v>0</v>
      </c>
      <c r="U78" s="1" t="s">
        <v>35</v>
      </c>
      <c r="V78" s="1" t="s">
        <v>35</v>
      </c>
      <c r="W78" s="1" t="s">
        <v>35</v>
      </c>
      <c r="X78" s="1" t="s">
        <v>35</v>
      </c>
      <c r="Y78" s="4" t="str">
        <f>IFERROR(VLOOKUP(F:F,#REF!,2,0),"需要手动检查")</f>
        <v>需要手动检查</v>
      </c>
      <c r="Z78" s="5" t="str">
        <f t="shared" si="1"/>
        <v>否</v>
      </c>
      <c r="AA78" s="6" t="s">
        <v>38</v>
      </c>
    </row>
    <row r="79" customHeight="1" spans="1:27">
      <c r="A79" s="1" t="s">
        <v>430</v>
      </c>
      <c r="B79" s="1" t="s">
        <v>431</v>
      </c>
      <c r="C79" s="1" t="s">
        <v>432</v>
      </c>
      <c r="D79" s="1" t="s">
        <v>433</v>
      </c>
      <c r="E79" s="1" t="s">
        <v>434</v>
      </c>
      <c r="F79" s="1" t="s">
        <v>161</v>
      </c>
      <c r="G79" s="1">
        <v>1</v>
      </c>
      <c r="H79" s="1">
        <v>0</v>
      </c>
      <c r="I79" s="1">
        <v>0</v>
      </c>
      <c r="J79" s="1">
        <v>0</v>
      </c>
      <c r="K79" s="1">
        <v>0</v>
      </c>
      <c r="L79" s="1">
        <v>0</v>
      </c>
      <c r="M79" s="1">
        <v>0</v>
      </c>
      <c r="N79" s="1">
        <v>0</v>
      </c>
      <c r="O79" s="1">
        <v>0</v>
      </c>
      <c r="P79" s="1">
        <v>0</v>
      </c>
      <c r="Q79" s="1">
        <v>0</v>
      </c>
      <c r="R79" s="1">
        <v>0</v>
      </c>
      <c r="S79" s="1">
        <v>0</v>
      </c>
      <c r="T79" s="1">
        <v>0</v>
      </c>
      <c r="U79" s="1" t="s">
        <v>35</v>
      </c>
      <c r="V79" s="1" t="s">
        <v>35</v>
      </c>
      <c r="W79" s="1" t="s">
        <v>35</v>
      </c>
      <c r="X79" s="1" t="s">
        <v>35</v>
      </c>
      <c r="Y79" s="4" t="str">
        <f>IFERROR(VLOOKUP(F:F,#REF!,2,0),"需要手动检查")</f>
        <v>需要手动检查</v>
      </c>
      <c r="Z79" s="5" t="str">
        <f t="shared" si="1"/>
        <v>否</v>
      </c>
      <c r="AA79" s="6" t="s">
        <v>48</v>
      </c>
    </row>
    <row r="80" customHeight="1" spans="1:27">
      <c r="A80" s="1" t="s">
        <v>435</v>
      </c>
      <c r="B80" s="1" t="s">
        <v>436</v>
      </c>
      <c r="C80" s="1" t="s">
        <v>437</v>
      </c>
      <c r="D80" s="1" t="s">
        <v>438</v>
      </c>
      <c r="E80" s="1" t="s">
        <v>439</v>
      </c>
      <c r="F80" s="1" t="s">
        <v>77</v>
      </c>
      <c r="G80" s="1">
        <v>4</v>
      </c>
      <c r="H80" s="1">
        <v>0</v>
      </c>
      <c r="I80" s="1">
        <v>0</v>
      </c>
      <c r="J80" s="1">
        <v>0</v>
      </c>
      <c r="K80" s="1">
        <v>0</v>
      </c>
      <c r="L80" s="1">
        <v>0</v>
      </c>
      <c r="M80" s="1">
        <v>4</v>
      </c>
      <c r="N80" s="1">
        <v>0</v>
      </c>
      <c r="O80" s="1">
        <v>0</v>
      </c>
      <c r="P80" s="1">
        <v>0</v>
      </c>
      <c r="Q80" s="1">
        <v>0</v>
      </c>
      <c r="R80" s="1">
        <v>0</v>
      </c>
      <c r="S80" s="1">
        <v>0</v>
      </c>
      <c r="T80" s="1">
        <v>0</v>
      </c>
      <c r="U80" s="1" t="s">
        <v>35</v>
      </c>
      <c r="V80" s="1" t="s">
        <v>35</v>
      </c>
      <c r="W80" s="1" t="s">
        <v>440</v>
      </c>
      <c r="X80" s="1" t="s">
        <v>35</v>
      </c>
      <c r="Y80" s="4" t="str">
        <f>IFERROR(VLOOKUP(F:F,#REF!,2,0),"需要手动检查")</f>
        <v>需要手动检查</v>
      </c>
      <c r="Z80" s="5" t="str">
        <f t="shared" si="1"/>
        <v>否</v>
      </c>
      <c r="AA80" s="6" t="s">
        <v>38</v>
      </c>
    </row>
    <row r="81" customHeight="1" spans="1:27">
      <c r="A81" s="1" t="s">
        <v>441</v>
      </c>
      <c r="B81" s="1" t="s">
        <v>442</v>
      </c>
      <c r="C81" s="1" t="s">
        <v>443</v>
      </c>
      <c r="D81" s="1" t="s">
        <v>444</v>
      </c>
      <c r="E81" s="1" t="s">
        <v>445</v>
      </c>
      <c r="F81" s="1" t="s">
        <v>77</v>
      </c>
      <c r="G81" s="1">
        <v>4</v>
      </c>
      <c r="H81" s="1">
        <v>0</v>
      </c>
      <c r="I81" s="1">
        <v>0</v>
      </c>
      <c r="J81" s="1">
        <v>0</v>
      </c>
      <c r="K81" s="1">
        <v>0</v>
      </c>
      <c r="L81" s="1">
        <v>0</v>
      </c>
      <c r="M81" s="1">
        <v>7</v>
      </c>
      <c r="N81" s="1">
        <v>0</v>
      </c>
      <c r="O81" s="1">
        <v>0</v>
      </c>
      <c r="P81" s="1">
        <v>0</v>
      </c>
      <c r="Q81" s="1">
        <v>0</v>
      </c>
      <c r="R81" s="1">
        <v>0</v>
      </c>
      <c r="S81" s="1">
        <v>0</v>
      </c>
      <c r="T81" s="1">
        <v>0</v>
      </c>
      <c r="U81" s="1" t="s">
        <v>35</v>
      </c>
      <c r="V81" s="1" t="s">
        <v>35</v>
      </c>
      <c r="W81" s="1" t="s">
        <v>35</v>
      </c>
      <c r="X81" s="1" t="s">
        <v>35</v>
      </c>
      <c r="Y81" s="4" t="str">
        <f>IFERROR(VLOOKUP(F:F,#REF!,2,0),"需要手动检查")</f>
        <v>需要手动检查</v>
      </c>
      <c r="Z81" s="5" t="str">
        <f t="shared" si="1"/>
        <v>否</v>
      </c>
      <c r="AA81" s="6" t="s">
        <v>48</v>
      </c>
    </row>
    <row r="82" customHeight="1" spans="1:27">
      <c r="A82" s="1" t="s">
        <v>446</v>
      </c>
      <c r="B82" s="1" t="s">
        <v>447</v>
      </c>
      <c r="C82" s="1" t="s">
        <v>448</v>
      </c>
      <c r="D82" s="1" t="s">
        <v>449</v>
      </c>
      <c r="E82" s="1" t="s">
        <v>450</v>
      </c>
      <c r="F82" s="1" t="s">
        <v>161</v>
      </c>
      <c r="G82" s="1">
        <v>1</v>
      </c>
      <c r="H82" s="1">
        <v>0</v>
      </c>
      <c r="I82" s="1">
        <v>0</v>
      </c>
      <c r="J82" s="1">
        <v>0</v>
      </c>
      <c r="K82" s="1">
        <v>0</v>
      </c>
      <c r="L82" s="1">
        <v>0</v>
      </c>
      <c r="M82" s="1">
        <v>1</v>
      </c>
      <c r="N82" s="1">
        <v>0</v>
      </c>
      <c r="O82" s="1">
        <v>0</v>
      </c>
      <c r="P82" s="1">
        <v>0</v>
      </c>
      <c r="Q82" s="1">
        <v>0</v>
      </c>
      <c r="R82" s="1">
        <v>0</v>
      </c>
      <c r="S82" s="1">
        <v>0</v>
      </c>
      <c r="T82" s="1">
        <v>0</v>
      </c>
      <c r="U82" s="1" t="s">
        <v>35</v>
      </c>
      <c r="V82" s="1" t="s">
        <v>35</v>
      </c>
      <c r="W82" s="1" t="s">
        <v>35</v>
      </c>
      <c r="X82" s="1" t="s">
        <v>35</v>
      </c>
      <c r="Y82" s="4" t="str">
        <f>IFERROR(VLOOKUP(F:F,#REF!,2,0),"需要手动检查")</f>
        <v>需要手动检查</v>
      </c>
      <c r="Z82" s="5" t="str">
        <f t="shared" si="1"/>
        <v>否</v>
      </c>
      <c r="AA82" s="6" t="s">
        <v>38</v>
      </c>
    </row>
    <row r="83" customHeight="1" spans="1:27">
      <c r="A83" s="1" t="s">
        <v>441</v>
      </c>
      <c r="B83" s="1" t="s">
        <v>442</v>
      </c>
      <c r="C83" s="1" t="s">
        <v>451</v>
      </c>
      <c r="D83" s="1" t="s">
        <v>452</v>
      </c>
      <c r="E83" s="1" t="s">
        <v>453</v>
      </c>
      <c r="F83" s="1" t="s">
        <v>77</v>
      </c>
      <c r="G83" s="1">
        <v>10</v>
      </c>
      <c r="H83" s="1">
        <v>0</v>
      </c>
      <c r="I83" s="1">
        <v>0</v>
      </c>
      <c r="J83" s="1">
        <v>0</v>
      </c>
      <c r="K83" s="1">
        <v>0</v>
      </c>
      <c r="L83" s="1">
        <v>0</v>
      </c>
      <c r="M83" s="1">
        <v>13</v>
      </c>
      <c r="N83" s="1">
        <v>1</v>
      </c>
      <c r="O83" s="1">
        <v>0</v>
      </c>
      <c r="P83" s="1">
        <v>0</v>
      </c>
      <c r="Q83" s="1">
        <v>0</v>
      </c>
      <c r="R83" s="1">
        <v>0</v>
      </c>
      <c r="S83" s="1">
        <v>0</v>
      </c>
      <c r="T83" s="1">
        <v>0</v>
      </c>
      <c r="U83" s="1" t="s">
        <v>360</v>
      </c>
      <c r="V83" s="1" t="s">
        <v>35</v>
      </c>
      <c r="W83" s="1" t="s">
        <v>360</v>
      </c>
      <c r="X83" s="1" t="s">
        <v>35</v>
      </c>
      <c r="Y83" s="4" t="str">
        <f>IFERROR(VLOOKUP(F:F,#REF!,2,0),"需要手动检查")</f>
        <v>需要手动检查</v>
      </c>
      <c r="Z83" s="5" t="str">
        <f t="shared" si="1"/>
        <v>否</v>
      </c>
      <c r="AA83" s="6" t="s">
        <v>48</v>
      </c>
    </row>
    <row r="84" customHeight="1" spans="1:27">
      <c r="A84" s="1" t="s">
        <v>156</v>
      </c>
      <c r="B84" s="1" t="s">
        <v>157</v>
      </c>
      <c r="C84" s="1" t="s">
        <v>454</v>
      </c>
      <c r="D84" s="1" t="s">
        <v>455</v>
      </c>
      <c r="E84" s="1" t="s">
        <v>456</v>
      </c>
      <c r="F84" s="1" t="s">
        <v>161</v>
      </c>
      <c r="G84" s="1">
        <v>1</v>
      </c>
      <c r="H84" s="1">
        <v>0</v>
      </c>
      <c r="I84" s="1">
        <v>0</v>
      </c>
      <c r="J84" s="1">
        <v>0</v>
      </c>
      <c r="K84" s="1">
        <v>0</v>
      </c>
      <c r="L84" s="1">
        <v>0</v>
      </c>
      <c r="M84" s="1">
        <v>4</v>
      </c>
      <c r="N84" s="1">
        <v>0</v>
      </c>
      <c r="O84" s="1">
        <v>0</v>
      </c>
      <c r="P84" s="1">
        <v>0</v>
      </c>
      <c r="Q84" s="1">
        <v>0</v>
      </c>
      <c r="R84" s="1">
        <v>0</v>
      </c>
      <c r="S84" s="1">
        <v>0</v>
      </c>
      <c r="T84" s="1">
        <v>0</v>
      </c>
      <c r="U84" s="1" t="s">
        <v>35</v>
      </c>
      <c r="V84" s="1" t="s">
        <v>35</v>
      </c>
      <c r="W84" s="1" t="s">
        <v>35</v>
      </c>
      <c r="X84" s="1" t="s">
        <v>35</v>
      </c>
      <c r="Y84" s="4" t="str">
        <f>IFERROR(VLOOKUP(F:F,#REF!,2,0),"需要手动检查")</f>
        <v>需要手动检查</v>
      </c>
      <c r="Z84" s="5" t="str">
        <f t="shared" si="1"/>
        <v>否</v>
      </c>
      <c r="AA84" s="6" t="s">
        <v>38</v>
      </c>
    </row>
    <row r="85" customHeight="1" spans="1:27">
      <c r="A85" s="1" t="s">
        <v>457</v>
      </c>
      <c r="B85" s="1" t="s">
        <v>458</v>
      </c>
      <c r="C85" s="1" t="s">
        <v>459</v>
      </c>
      <c r="D85" s="1" t="s">
        <v>460</v>
      </c>
      <c r="E85" s="1" t="s">
        <v>461</v>
      </c>
      <c r="F85" s="1" t="s">
        <v>77</v>
      </c>
      <c r="G85" s="1">
        <v>6</v>
      </c>
      <c r="H85" s="1">
        <v>0</v>
      </c>
      <c r="I85" s="1">
        <v>0</v>
      </c>
      <c r="J85" s="1">
        <v>0</v>
      </c>
      <c r="K85" s="1">
        <v>0</v>
      </c>
      <c r="L85" s="1">
        <v>0</v>
      </c>
      <c r="M85" s="1">
        <v>4</v>
      </c>
      <c r="N85" s="1">
        <v>0</v>
      </c>
      <c r="O85" s="1">
        <v>0</v>
      </c>
      <c r="P85" s="1">
        <v>0</v>
      </c>
      <c r="Q85" s="1">
        <v>0</v>
      </c>
      <c r="R85" s="1">
        <v>0</v>
      </c>
      <c r="S85" s="1">
        <v>0</v>
      </c>
      <c r="T85" s="1">
        <v>0</v>
      </c>
      <c r="U85" s="1" t="s">
        <v>35</v>
      </c>
      <c r="V85" s="1" t="s">
        <v>35</v>
      </c>
      <c r="W85" s="1" t="s">
        <v>462</v>
      </c>
      <c r="X85" s="1" t="s">
        <v>35</v>
      </c>
      <c r="Y85" s="4" t="str">
        <f>IFERROR(VLOOKUP(F:F,#REF!,2,0),"需要手动检查")</f>
        <v>需要手动检查</v>
      </c>
      <c r="Z85" s="5" t="str">
        <f t="shared" si="1"/>
        <v>否</v>
      </c>
      <c r="AA85" s="6" t="s">
        <v>48</v>
      </c>
    </row>
    <row r="86" customHeight="1" spans="1:27">
      <c r="A86" s="1" t="s">
        <v>463</v>
      </c>
      <c r="B86" s="1" t="s">
        <v>464</v>
      </c>
      <c r="C86" s="1" t="s">
        <v>465</v>
      </c>
      <c r="D86" s="1" t="s">
        <v>466</v>
      </c>
      <c r="E86" s="1" t="s">
        <v>467</v>
      </c>
      <c r="F86" s="1" t="s">
        <v>77</v>
      </c>
      <c r="G86" s="1">
        <v>3</v>
      </c>
      <c r="H86" s="1">
        <v>0</v>
      </c>
      <c r="I86" s="1">
        <v>0</v>
      </c>
      <c r="J86" s="1">
        <v>0</v>
      </c>
      <c r="K86" s="1">
        <v>0</v>
      </c>
      <c r="L86" s="1">
        <v>0</v>
      </c>
      <c r="M86" s="1">
        <v>3</v>
      </c>
      <c r="N86" s="1">
        <v>0</v>
      </c>
      <c r="O86" s="1">
        <v>0</v>
      </c>
      <c r="P86" s="1">
        <v>0</v>
      </c>
      <c r="Q86" s="1">
        <v>0</v>
      </c>
      <c r="R86" s="1">
        <v>0</v>
      </c>
      <c r="S86" s="1">
        <v>0</v>
      </c>
      <c r="T86" s="1">
        <v>0</v>
      </c>
      <c r="U86" s="1" t="s">
        <v>35</v>
      </c>
      <c r="V86" s="1" t="s">
        <v>35</v>
      </c>
      <c r="W86" s="1" t="s">
        <v>35</v>
      </c>
      <c r="X86" s="1" t="s">
        <v>35</v>
      </c>
      <c r="Y86" s="4" t="str">
        <f>IFERROR(VLOOKUP(F:F,#REF!,2,0),"需要手动检查")</f>
        <v>需要手动检查</v>
      </c>
      <c r="Z86" s="5" t="str">
        <f t="shared" si="1"/>
        <v>否</v>
      </c>
      <c r="AA86" s="6" t="s">
        <v>38</v>
      </c>
    </row>
    <row r="87" customHeight="1" spans="1:27">
      <c r="A87" s="1" t="s">
        <v>110</v>
      </c>
      <c r="B87" s="1" t="s">
        <v>111</v>
      </c>
      <c r="C87" s="1" t="s">
        <v>468</v>
      </c>
      <c r="D87" s="1" t="s">
        <v>469</v>
      </c>
      <c r="E87" s="1" t="s">
        <v>470</v>
      </c>
      <c r="F87" s="1" t="s">
        <v>71</v>
      </c>
      <c r="G87" s="1">
        <v>0</v>
      </c>
      <c r="H87" s="1">
        <v>0</v>
      </c>
      <c r="I87" s="1">
        <v>0</v>
      </c>
      <c r="J87" s="1">
        <v>0</v>
      </c>
      <c r="K87" s="1">
        <v>0</v>
      </c>
      <c r="L87" s="1">
        <v>0</v>
      </c>
      <c r="M87" s="1">
        <v>7</v>
      </c>
      <c r="N87" s="1">
        <v>0</v>
      </c>
      <c r="O87" s="1">
        <v>0</v>
      </c>
      <c r="P87" s="1">
        <v>0</v>
      </c>
      <c r="Q87" s="1">
        <v>0</v>
      </c>
      <c r="R87" s="1">
        <v>0</v>
      </c>
      <c r="S87" s="1">
        <v>0</v>
      </c>
      <c r="T87" s="1">
        <v>0</v>
      </c>
      <c r="U87" s="1" t="s">
        <v>35</v>
      </c>
      <c r="V87" s="1" t="s">
        <v>35</v>
      </c>
      <c r="W87" s="1" t="s">
        <v>35</v>
      </c>
      <c r="X87" s="1" t="s">
        <v>35</v>
      </c>
      <c r="Y87" s="4" t="str">
        <f>IFERROR(VLOOKUP(F:F,#REF!,2,0),"需要手动检查")</f>
        <v>需要手动检查</v>
      </c>
      <c r="Z87" s="5" t="str">
        <f t="shared" si="1"/>
        <v>否</v>
      </c>
      <c r="AA87" s="6" t="s">
        <v>48</v>
      </c>
    </row>
    <row r="88" customHeight="1" spans="1:27">
      <c r="A88" s="1" t="s">
        <v>110</v>
      </c>
      <c r="B88" s="1" t="s">
        <v>111</v>
      </c>
      <c r="C88" s="1" t="s">
        <v>468</v>
      </c>
      <c r="D88" s="1" t="s">
        <v>471</v>
      </c>
      <c r="E88" s="1" t="s">
        <v>472</v>
      </c>
      <c r="F88" s="1" t="s">
        <v>71</v>
      </c>
      <c r="G88" s="1">
        <v>0</v>
      </c>
      <c r="H88" s="1">
        <v>0</v>
      </c>
      <c r="I88" s="1">
        <v>0</v>
      </c>
      <c r="J88" s="1">
        <v>0</v>
      </c>
      <c r="K88" s="1">
        <v>0</v>
      </c>
      <c r="L88" s="1">
        <v>0</v>
      </c>
      <c r="M88" s="1">
        <v>20</v>
      </c>
      <c r="N88" s="1">
        <v>0</v>
      </c>
      <c r="O88" s="1">
        <v>0</v>
      </c>
      <c r="P88" s="1">
        <v>0</v>
      </c>
      <c r="Q88" s="1">
        <v>0</v>
      </c>
      <c r="R88" s="1">
        <v>0</v>
      </c>
      <c r="S88" s="1">
        <v>0</v>
      </c>
      <c r="T88" s="1">
        <v>0</v>
      </c>
      <c r="U88" s="1" t="s">
        <v>35</v>
      </c>
      <c r="V88" s="1" t="s">
        <v>35</v>
      </c>
      <c r="W88" s="1" t="s">
        <v>35</v>
      </c>
      <c r="X88" s="1" t="s">
        <v>35</v>
      </c>
      <c r="Y88" s="4" t="str">
        <f>IFERROR(VLOOKUP(F:F,#REF!,2,0),"需要手动检查")</f>
        <v>需要手动检查</v>
      </c>
      <c r="Z88" s="5" t="str">
        <f t="shared" si="1"/>
        <v>否</v>
      </c>
      <c r="AA88" s="6" t="s">
        <v>38</v>
      </c>
    </row>
    <row r="89" customHeight="1" spans="1:27">
      <c r="A89" s="1" t="s">
        <v>110</v>
      </c>
      <c r="B89" s="1" t="s">
        <v>111</v>
      </c>
      <c r="C89" s="1" t="s">
        <v>468</v>
      </c>
      <c r="D89" s="1" t="s">
        <v>473</v>
      </c>
      <c r="E89" s="1" t="s">
        <v>472</v>
      </c>
      <c r="F89" s="1" t="s">
        <v>71</v>
      </c>
      <c r="G89" s="1">
        <v>0</v>
      </c>
      <c r="H89" s="1">
        <v>0</v>
      </c>
      <c r="I89" s="1">
        <v>0</v>
      </c>
      <c r="J89" s="1">
        <v>0</v>
      </c>
      <c r="K89" s="1">
        <v>0</v>
      </c>
      <c r="L89" s="1">
        <v>0</v>
      </c>
      <c r="M89" s="1">
        <v>32</v>
      </c>
      <c r="N89" s="1">
        <v>0</v>
      </c>
      <c r="O89" s="1">
        <v>0</v>
      </c>
      <c r="P89" s="1">
        <v>0</v>
      </c>
      <c r="Q89" s="1">
        <v>0</v>
      </c>
      <c r="R89" s="1">
        <v>0</v>
      </c>
      <c r="S89" s="1">
        <v>0</v>
      </c>
      <c r="T89" s="1">
        <v>0</v>
      </c>
      <c r="U89" s="1" t="s">
        <v>35</v>
      </c>
      <c r="V89" s="1" t="s">
        <v>35</v>
      </c>
      <c r="W89" s="1" t="s">
        <v>35</v>
      </c>
      <c r="X89" s="1" t="s">
        <v>35</v>
      </c>
      <c r="Y89" s="4" t="str">
        <f>IFERROR(VLOOKUP(F:F,#REF!,2,0),"需要手动检查")</f>
        <v>需要手动检查</v>
      </c>
      <c r="Z89" s="5" t="str">
        <f t="shared" si="1"/>
        <v>否</v>
      </c>
      <c r="AA89" s="6" t="s">
        <v>48</v>
      </c>
    </row>
    <row r="90" customHeight="1" spans="1:27">
      <c r="A90" s="1" t="s">
        <v>110</v>
      </c>
      <c r="B90" s="1" t="s">
        <v>111</v>
      </c>
      <c r="C90" s="1" t="s">
        <v>474</v>
      </c>
      <c r="D90" s="1" t="s">
        <v>475</v>
      </c>
      <c r="E90" s="1" t="s">
        <v>476</v>
      </c>
      <c r="F90" s="1" t="s">
        <v>71</v>
      </c>
      <c r="G90" s="1">
        <v>0</v>
      </c>
      <c r="H90" s="1">
        <v>0</v>
      </c>
      <c r="I90" s="1">
        <v>0</v>
      </c>
      <c r="J90" s="1">
        <v>0</v>
      </c>
      <c r="K90" s="1">
        <v>0</v>
      </c>
      <c r="L90" s="1">
        <v>0</v>
      </c>
      <c r="M90" s="1">
        <v>30</v>
      </c>
      <c r="N90" s="1">
        <v>0</v>
      </c>
      <c r="O90" s="1">
        <v>0</v>
      </c>
      <c r="P90" s="1">
        <v>0</v>
      </c>
      <c r="Q90" s="1">
        <v>0</v>
      </c>
      <c r="R90" s="1">
        <v>0</v>
      </c>
      <c r="S90" s="1">
        <v>0</v>
      </c>
      <c r="T90" s="1">
        <v>0</v>
      </c>
      <c r="U90" s="1" t="s">
        <v>35</v>
      </c>
      <c r="V90" s="1" t="s">
        <v>35</v>
      </c>
      <c r="W90" s="1" t="s">
        <v>35</v>
      </c>
      <c r="X90" s="1" t="s">
        <v>35</v>
      </c>
      <c r="Y90" s="4" t="str">
        <f>IFERROR(VLOOKUP(F:F,#REF!,2,0),"需要手动检查")</f>
        <v>需要手动检查</v>
      </c>
      <c r="Z90" s="5" t="str">
        <f t="shared" si="1"/>
        <v>否</v>
      </c>
      <c r="AA90" s="6" t="s">
        <v>38</v>
      </c>
    </row>
    <row r="91" customHeight="1" spans="1:27">
      <c r="A91" s="1" t="s">
        <v>110</v>
      </c>
      <c r="B91" s="1" t="s">
        <v>111</v>
      </c>
      <c r="C91" s="1" t="s">
        <v>468</v>
      </c>
      <c r="D91" s="1" t="s">
        <v>477</v>
      </c>
      <c r="E91" s="1" t="s">
        <v>472</v>
      </c>
      <c r="F91" s="1" t="s">
        <v>71</v>
      </c>
      <c r="G91" s="1">
        <v>0</v>
      </c>
      <c r="H91" s="1">
        <v>0</v>
      </c>
      <c r="I91" s="1">
        <v>0</v>
      </c>
      <c r="J91" s="1">
        <v>0</v>
      </c>
      <c r="K91" s="1">
        <v>0</v>
      </c>
      <c r="L91" s="1">
        <v>0</v>
      </c>
      <c r="M91" s="1">
        <v>20</v>
      </c>
      <c r="N91" s="1">
        <v>0</v>
      </c>
      <c r="O91" s="1">
        <v>0</v>
      </c>
      <c r="P91" s="1">
        <v>0</v>
      </c>
      <c r="Q91" s="1">
        <v>0</v>
      </c>
      <c r="R91" s="1">
        <v>0</v>
      </c>
      <c r="S91" s="1">
        <v>0</v>
      </c>
      <c r="T91" s="1">
        <v>0</v>
      </c>
      <c r="U91" s="1" t="s">
        <v>35</v>
      </c>
      <c r="V91" s="1" t="s">
        <v>35</v>
      </c>
      <c r="W91" s="1" t="s">
        <v>35</v>
      </c>
      <c r="X91" s="1" t="s">
        <v>35</v>
      </c>
      <c r="Y91" s="4" t="str">
        <f>IFERROR(VLOOKUP(F:F,#REF!,2,0),"需要手动检查")</f>
        <v>需要手动检查</v>
      </c>
      <c r="Z91" s="5" t="str">
        <f t="shared" si="1"/>
        <v>否</v>
      </c>
      <c r="AA91" s="6" t="s">
        <v>48</v>
      </c>
    </row>
    <row r="92" customHeight="1" spans="1:27">
      <c r="A92" s="1" t="s">
        <v>110</v>
      </c>
      <c r="B92" s="1" t="s">
        <v>111</v>
      </c>
      <c r="C92" s="1" t="s">
        <v>474</v>
      </c>
      <c r="D92" s="1" t="s">
        <v>478</v>
      </c>
      <c r="E92" s="1" t="s">
        <v>476</v>
      </c>
      <c r="F92" s="1" t="s">
        <v>71</v>
      </c>
      <c r="G92" s="1">
        <v>0</v>
      </c>
      <c r="H92" s="1">
        <v>0</v>
      </c>
      <c r="I92" s="1">
        <v>0</v>
      </c>
      <c r="J92" s="1">
        <v>0</v>
      </c>
      <c r="K92" s="1">
        <v>0</v>
      </c>
      <c r="L92" s="1">
        <v>0</v>
      </c>
      <c r="M92" s="1">
        <v>6</v>
      </c>
      <c r="N92" s="1">
        <v>0</v>
      </c>
      <c r="O92" s="1">
        <v>0</v>
      </c>
      <c r="P92" s="1">
        <v>0</v>
      </c>
      <c r="Q92" s="1">
        <v>0</v>
      </c>
      <c r="R92" s="1">
        <v>0</v>
      </c>
      <c r="S92" s="1">
        <v>0</v>
      </c>
      <c r="T92" s="1">
        <v>0</v>
      </c>
      <c r="U92" s="1" t="s">
        <v>35</v>
      </c>
      <c r="V92" s="1" t="s">
        <v>35</v>
      </c>
      <c r="W92" s="1" t="s">
        <v>35</v>
      </c>
      <c r="X92" s="1" t="s">
        <v>35</v>
      </c>
      <c r="Y92" s="4" t="str">
        <f>IFERROR(VLOOKUP(F:F,#REF!,2,0),"需要手动检查")</f>
        <v>需要手动检查</v>
      </c>
      <c r="Z92" s="5" t="str">
        <f t="shared" si="1"/>
        <v>否</v>
      </c>
      <c r="AA92" s="6" t="s">
        <v>38</v>
      </c>
    </row>
    <row r="93" customHeight="1" spans="1:27">
      <c r="A93" s="1" t="s">
        <v>110</v>
      </c>
      <c r="B93" s="1" t="s">
        <v>111</v>
      </c>
      <c r="C93" s="1" t="s">
        <v>474</v>
      </c>
      <c r="D93" s="1" t="s">
        <v>479</v>
      </c>
      <c r="E93" s="1" t="s">
        <v>476</v>
      </c>
      <c r="F93" s="1" t="s">
        <v>71</v>
      </c>
      <c r="G93" s="1">
        <v>0</v>
      </c>
      <c r="H93" s="1">
        <v>0</v>
      </c>
      <c r="I93" s="1">
        <v>0</v>
      </c>
      <c r="J93" s="1">
        <v>0</v>
      </c>
      <c r="K93" s="1">
        <v>0</v>
      </c>
      <c r="L93" s="1">
        <v>0</v>
      </c>
      <c r="M93" s="1">
        <v>6</v>
      </c>
      <c r="N93" s="1">
        <v>0</v>
      </c>
      <c r="O93" s="1">
        <v>0</v>
      </c>
      <c r="P93" s="1">
        <v>0</v>
      </c>
      <c r="Q93" s="1">
        <v>0</v>
      </c>
      <c r="R93" s="1">
        <v>0</v>
      </c>
      <c r="S93" s="1">
        <v>0</v>
      </c>
      <c r="T93" s="1">
        <v>0</v>
      </c>
      <c r="U93" s="1" t="s">
        <v>35</v>
      </c>
      <c r="V93" s="1" t="s">
        <v>35</v>
      </c>
      <c r="W93" s="1" t="s">
        <v>35</v>
      </c>
      <c r="X93" s="1" t="s">
        <v>35</v>
      </c>
      <c r="Y93" s="4" t="str">
        <f>IFERROR(VLOOKUP(F:F,#REF!,2,0),"需要手动检查")</f>
        <v>需要手动检查</v>
      </c>
      <c r="Z93" s="5" t="str">
        <f t="shared" si="1"/>
        <v>否</v>
      </c>
      <c r="AA93" s="6" t="s">
        <v>48</v>
      </c>
    </row>
    <row r="94" customHeight="1" spans="1:27">
      <c r="A94" s="1" t="s">
        <v>110</v>
      </c>
      <c r="B94" s="1" t="s">
        <v>111</v>
      </c>
      <c r="C94" s="1" t="s">
        <v>474</v>
      </c>
      <c r="D94" s="1" t="s">
        <v>480</v>
      </c>
      <c r="E94" s="1" t="s">
        <v>476</v>
      </c>
      <c r="F94" s="1" t="s">
        <v>71</v>
      </c>
      <c r="G94" s="1">
        <v>0</v>
      </c>
      <c r="H94" s="1">
        <v>0</v>
      </c>
      <c r="I94" s="1">
        <v>0</v>
      </c>
      <c r="J94" s="1">
        <v>0</v>
      </c>
      <c r="K94" s="1">
        <v>0</v>
      </c>
      <c r="L94" s="1">
        <v>0</v>
      </c>
      <c r="M94" s="1">
        <v>104</v>
      </c>
      <c r="N94" s="1">
        <v>9</v>
      </c>
      <c r="O94" s="1">
        <v>0</v>
      </c>
      <c r="P94" s="1">
        <v>0</v>
      </c>
      <c r="Q94" s="1">
        <v>0</v>
      </c>
      <c r="R94" s="1">
        <v>0</v>
      </c>
      <c r="S94" s="1">
        <v>0</v>
      </c>
      <c r="T94" s="1">
        <v>0</v>
      </c>
      <c r="U94" s="1" t="s">
        <v>35</v>
      </c>
      <c r="V94" s="1" t="s">
        <v>35</v>
      </c>
      <c r="W94" s="1" t="s">
        <v>35</v>
      </c>
      <c r="X94" s="1" t="s">
        <v>35</v>
      </c>
      <c r="Y94" s="4" t="str">
        <f>IFERROR(VLOOKUP(F:F,#REF!,2,0),"需要手动检查")</f>
        <v>需要手动检查</v>
      </c>
      <c r="Z94" s="5" t="str">
        <f t="shared" si="1"/>
        <v>否</v>
      </c>
      <c r="AA94" s="6" t="s">
        <v>38</v>
      </c>
    </row>
    <row r="95" customHeight="1" spans="1:27">
      <c r="A95" s="1" t="s">
        <v>110</v>
      </c>
      <c r="B95" s="1" t="s">
        <v>111</v>
      </c>
      <c r="C95" s="1" t="s">
        <v>474</v>
      </c>
      <c r="D95" s="1" t="s">
        <v>481</v>
      </c>
      <c r="E95" s="1" t="s">
        <v>476</v>
      </c>
      <c r="F95" s="1" t="s">
        <v>71</v>
      </c>
      <c r="G95" s="1">
        <v>0</v>
      </c>
      <c r="H95" s="1">
        <v>0</v>
      </c>
      <c r="I95" s="1">
        <v>0</v>
      </c>
      <c r="J95" s="1">
        <v>0</v>
      </c>
      <c r="K95" s="1">
        <v>0</v>
      </c>
      <c r="L95" s="1">
        <v>0</v>
      </c>
      <c r="M95" s="1">
        <v>103</v>
      </c>
      <c r="N95" s="1">
        <v>0</v>
      </c>
      <c r="O95" s="1">
        <v>0</v>
      </c>
      <c r="P95" s="1">
        <v>0</v>
      </c>
      <c r="Q95" s="1">
        <v>0</v>
      </c>
      <c r="R95" s="1">
        <v>0</v>
      </c>
      <c r="S95" s="1">
        <v>0</v>
      </c>
      <c r="T95" s="1">
        <v>0</v>
      </c>
      <c r="U95" s="1" t="s">
        <v>35</v>
      </c>
      <c r="V95" s="1" t="s">
        <v>35</v>
      </c>
      <c r="W95" s="1" t="s">
        <v>35</v>
      </c>
      <c r="X95" s="1" t="s">
        <v>35</v>
      </c>
      <c r="Y95" s="4" t="str">
        <f>IFERROR(VLOOKUP(F:F,#REF!,2,0),"需要手动检查")</f>
        <v>需要手动检查</v>
      </c>
      <c r="Z95" s="5" t="str">
        <f t="shared" si="1"/>
        <v>否</v>
      </c>
      <c r="AA95" s="6" t="s">
        <v>48</v>
      </c>
    </row>
    <row r="96" customHeight="1" spans="1:27">
      <c r="A96" s="1" t="s">
        <v>261</v>
      </c>
      <c r="B96" s="1" t="s">
        <v>262</v>
      </c>
      <c r="C96" s="1" t="s">
        <v>482</v>
      </c>
      <c r="D96" s="1" t="s">
        <v>483</v>
      </c>
      <c r="E96" s="1" t="s">
        <v>484</v>
      </c>
      <c r="F96" s="1" t="s">
        <v>77</v>
      </c>
      <c r="G96" s="1">
        <v>2</v>
      </c>
      <c r="H96" s="1">
        <v>0</v>
      </c>
      <c r="I96" s="1">
        <v>0</v>
      </c>
      <c r="J96" s="1">
        <v>0</v>
      </c>
      <c r="K96" s="1">
        <v>0</v>
      </c>
      <c r="L96" s="1">
        <v>0</v>
      </c>
      <c r="M96" s="1">
        <v>3</v>
      </c>
      <c r="N96" s="1">
        <v>0</v>
      </c>
      <c r="O96" s="1">
        <v>0</v>
      </c>
      <c r="P96" s="1">
        <v>0</v>
      </c>
      <c r="Q96" s="1">
        <v>0</v>
      </c>
      <c r="R96" s="1">
        <v>0</v>
      </c>
      <c r="S96" s="1">
        <v>0</v>
      </c>
      <c r="T96" s="1">
        <v>0</v>
      </c>
      <c r="U96" s="1" t="s">
        <v>35</v>
      </c>
      <c r="V96" s="1" t="s">
        <v>35</v>
      </c>
      <c r="W96" s="1" t="s">
        <v>35</v>
      </c>
      <c r="X96" s="1" t="s">
        <v>35</v>
      </c>
      <c r="Y96" s="4" t="str">
        <f>IFERROR(VLOOKUP(F:F,#REF!,2,0),"需要手动检查")</f>
        <v>需要手动检查</v>
      </c>
      <c r="Z96" s="5" t="str">
        <f t="shared" si="1"/>
        <v>否</v>
      </c>
      <c r="AA96" s="6" t="s">
        <v>38</v>
      </c>
    </row>
    <row r="97" customHeight="1" spans="1:27">
      <c r="A97" s="1" t="s">
        <v>485</v>
      </c>
      <c r="B97" s="1" t="s">
        <v>486</v>
      </c>
      <c r="C97" s="1" t="s">
        <v>487</v>
      </c>
      <c r="D97" s="1" t="s">
        <v>488</v>
      </c>
      <c r="E97" s="1" t="s">
        <v>489</v>
      </c>
      <c r="F97" s="1" t="s">
        <v>77</v>
      </c>
      <c r="G97" s="1">
        <v>24</v>
      </c>
      <c r="H97" s="1">
        <v>0</v>
      </c>
      <c r="I97" s="1">
        <v>0</v>
      </c>
      <c r="J97" s="1">
        <v>0</v>
      </c>
      <c r="K97" s="1">
        <v>0</v>
      </c>
      <c r="L97" s="1">
        <v>0</v>
      </c>
      <c r="M97" s="1">
        <v>21</v>
      </c>
      <c r="N97" s="1">
        <v>0</v>
      </c>
      <c r="O97" s="1">
        <v>0</v>
      </c>
      <c r="P97" s="1">
        <v>0</v>
      </c>
      <c r="Q97" s="1">
        <v>0</v>
      </c>
      <c r="R97" s="1">
        <v>0</v>
      </c>
      <c r="S97" s="1">
        <v>0</v>
      </c>
      <c r="T97" s="1">
        <v>0</v>
      </c>
      <c r="U97" s="1" t="s">
        <v>35</v>
      </c>
      <c r="V97" s="1" t="s">
        <v>35</v>
      </c>
      <c r="W97" s="1" t="s">
        <v>35</v>
      </c>
      <c r="X97" s="1" t="s">
        <v>35</v>
      </c>
      <c r="Y97" s="4" t="str">
        <f>IFERROR(VLOOKUP(F:F,#REF!,2,0),"需要手动检查")</f>
        <v>需要手动检查</v>
      </c>
      <c r="Z97" s="5" t="str">
        <f t="shared" si="1"/>
        <v>否</v>
      </c>
      <c r="AA97" s="6" t="s">
        <v>48</v>
      </c>
    </row>
    <row r="98" customHeight="1" spans="1:27">
      <c r="A98" s="1" t="s">
        <v>490</v>
      </c>
      <c r="B98" s="1" t="s">
        <v>491</v>
      </c>
      <c r="C98" s="1" t="s">
        <v>492</v>
      </c>
      <c r="D98" s="1" t="s">
        <v>493</v>
      </c>
      <c r="E98" s="1" t="s">
        <v>494</v>
      </c>
      <c r="F98" s="1" t="s">
        <v>77</v>
      </c>
      <c r="G98" s="1">
        <v>5</v>
      </c>
      <c r="H98" s="1">
        <v>1</v>
      </c>
      <c r="I98" s="1">
        <v>0</v>
      </c>
      <c r="J98" s="1">
        <v>0</v>
      </c>
      <c r="K98" s="1">
        <v>0</v>
      </c>
      <c r="L98" s="1">
        <v>0</v>
      </c>
      <c r="M98" s="1">
        <v>5</v>
      </c>
      <c r="N98" s="1">
        <v>2</v>
      </c>
      <c r="O98" s="1">
        <v>0</v>
      </c>
      <c r="P98" s="1">
        <v>0</v>
      </c>
      <c r="Q98" s="1">
        <v>0</v>
      </c>
      <c r="R98" s="1">
        <v>0</v>
      </c>
      <c r="S98" s="1">
        <v>0</v>
      </c>
      <c r="T98" s="1">
        <v>0</v>
      </c>
      <c r="U98" s="1" t="s">
        <v>495</v>
      </c>
      <c r="V98" s="1" t="s">
        <v>35</v>
      </c>
      <c r="W98" s="1" t="s">
        <v>35</v>
      </c>
      <c r="X98" s="1" t="s">
        <v>35</v>
      </c>
      <c r="Y98" s="4" t="str">
        <f>IFERROR(VLOOKUP(F:F,#REF!,2,0),"需要手动检查")</f>
        <v>需要手动检查</v>
      </c>
      <c r="Z98" s="5" t="str">
        <f t="shared" si="1"/>
        <v>否</v>
      </c>
      <c r="AA98" s="6" t="s">
        <v>38</v>
      </c>
    </row>
    <row r="99" customHeight="1" spans="1:27">
      <c r="A99" s="1" t="s">
        <v>496</v>
      </c>
      <c r="B99" s="1" t="s">
        <v>497</v>
      </c>
      <c r="C99" s="1" t="s">
        <v>498</v>
      </c>
      <c r="D99" s="1" t="s">
        <v>499</v>
      </c>
      <c r="E99" s="1" t="s">
        <v>500</v>
      </c>
      <c r="F99" s="1" t="s">
        <v>77</v>
      </c>
      <c r="G99" s="1">
        <v>6</v>
      </c>
      <c r="H99" s="1">
        <v>0</v>
      </c>
      <c r="I99" s="1">
        <v>0</v>
      </c>
      <c r="J99" s="1">
        <v>0</v>
      </c>
      <c r="K99" s="1">
        <v>0</v>
      </c>
      <c r="L99" s="1">
        <v>0</v>
      </c>
      <c r="M99" s="1">
        <v>6</v>
      </c>
      <c r="N99" s="1">
        <v>0</v>
      </c>
      <c r="O99" s="1">
        <v>0</v>
      </c>
      <c r="P99" s="1">
        <v>0</v>
      </c>
      <c r="Q99" s="1">
        <v>0</v>
      </c>
      <c r="R99" s="1">
        <v>0</v>
      </c>
      <c r="S99" s="1">
        <v>0</v>
      </c>
      <c r="T99" s="1">
        <v>0</v>
      </c>
      <c r="U99" s="1" t="s">
        <v>35</v>
      </c>
      <c r="V99" s="1" t="s">
        <v>35</v>
      </c>
      <c r="W99" s="1" t="s">
        <v>35</v>
      </c>
      <c r="X99" s="1" t="s">
        <v>35</v>
      </c>
      <c r="Y99" s="4" t="str">
        <f>IFERROR(VLOOKUP(F:F,#REF!,2,0),"需要手动检查")</f>
        <v>需要手动检查</v>
      </c>
      <c r="Z99" s="5" t="str">
        <f t="shared" si="1"/>
        <v>否</v>
      </c>
      <c r="AA99" s="6" t="s">
        <v>48</v>
      </c>
    </row>
    <row r="100" customHeight="1" spans="1:27">
      <c r="A100" s="1" t="s">
        <v>501</v>
      </c>
      <c r="B100" s="1" t="s">
        <v>502</v>
      </c>
      <c r="C100" s="1" t="s">
        <v>503</v>
      </c>
      <c r="D100" s="1" t="s">
        <v>504</v>
      </c>
      <c r="E100" s="1" t="s">
        <v>505</v>
      </c>
      <c r="F100" s="1" t="s">
        <v>77</v>
      </c>
      <c r="G100" s="1">
        <v>4</v>
      </c>
      <c r="H100" s="1">
        <v>0</v>
      </c>
      <c r="I100" s="1">
        <v>0</v>
      </c>
      <c r="J100" s="1">
        <v>0</v>
      </c>
      <c r="K100" s="1">
        <v>0</v>
      </c>
      <c r="L100" s="1">
        <v>0</v>
      </c>
      <c r="M100" s="1">
        <v>4</v>
      </c>
      <c r="N100" s="1">
        <v>0</v>
      </c>
      <c r="O100" s="1">
        <v>0</v>
      </c>
      <c r="P100" s="1">
        <v>0</v>
      </c>
      <c r="Q100" s="1">
        <v>0</v>
      </c>
      <c r="R100" s="1">
        <v>0</v>
      </c>
      <c r="S100" s="1">
        <v>0</v>
      </c>
      <c r="T100" s="1">
        <v>0</v>
      </c>
      <c r="U100" s="1" t="s">
        <v>35</v>
      </c>
      <c r="V100" s="1" t="s">
        <v>35</v>
      </c>
      <c r="W100" s="1" t="s">
        <v>35</v>
      </c>
      <c r="X100" s="1" t="s">
        <v>35</v>
      </c>
      <c r="Y100" s="4" t="str">
        <f>IFERROR(VLOOKUP(F:F,#REF!,2,0),"需要手动检查")</f>
        <v>需要手动检查</v>
      </c>
      <c r="Z100" s="5" t="str">
        <f t="shared" si="1"/>
        <v>否</v>
      </c>
      <c r="AA100" s="6" t="s">
        <v>38</v>
      </c>
    </row>
    <row r="101" customHeight="1" spans="1:27">
      <c r="A101" s="1" t="s">
        <v>506</v>
      </c>
      <c r="B101" s="1" t="s">
        <v>507</v>
      </c>
      <c r="C101" s="1" t="s">
        <v>508</v>
      </c>
      <c r="D101" s="1" t="s">
        <v>509</v>
      </c>
      <c r="E101" s="1" t="s">
        <v>510</v>
      </c>
      <c r="F101" s="1" t="s">
        <v>77</v>
      </c>
      <c r="G101" s="1">
        <v>7</v>
      </c>
      <c r="H101" s="1">
        <v>0</v>
      </c>
      <c r="I101" s="1">
        <v>0</v>
      </c>
      <c r="J101" s="1">
        <v>0</v>
      </c>
      <c r="K101" s="1">
        <v>0</v>
      </c>
      <c r="L101" s="1">
        <v>0</v>
      </c>
      <c r="M101" s="1">
        <v>10</v>
      </c>
      <c r="N101" s="1">
        <v>0</v>
      </c>
      <c r="O101" s="1">
        <v>0</v>
      </c>
      <c r="P101" s="1">
        <v>0</v>
      </c>
      <c r="Q101" s="1">
        <v>0</v>
      </c>
      <c r="R101" s="1">
        <v>0</v>
      </c>
      <c r="S101" s="1">
        <v>0</v>
      </c>
      <c r="T101" s="1">
        <v>0</v>
      </c>
      <c r="U101" s="1" t="s">
        <v>35</v>
      </c>
      <c r="V101" s="1" t="s">
        <v>35</v>
      </c>
      <c r="W101" s="1" t="s">
        <v>35</v>
      </c>
      <c r="X101" s="1" t="s">
        <v>35</v>
      </c>
      <c r="Y101" s="4" t="str">
        <f>IFERROR(VLOOKUP(F:F,#REF!,2,0),"需要手动检查")</f>
        <v>需要手动检查</v>
      </c>
      <c r="Z101" s="5" t="str">
        <f t="shared" si="1"/>
        <v>否</v>
      </c>
      <c r="AA101" s="6" t="s">
        <v>48</v>
      </c>
    </row>
    <row r="102" customHeight="1" spans="1:27">
      <c r="A102" s="1" t="s">
        <v>511</v>
      </c>
      <c r="B102" s="1" t="s">
        <v>512</v>
      </c>
      <c r="C102" s="1" t="s">
        <v>513</v>
      </c>
      <c r="D102" s="1" t="s">
        <v>514</v>
      </c>
      <c r="E102" s="1" t="s">
        <v>515</v>
      </c>
      <c r="F102" s="1" t="s">
        <v>77</v>
      </c>
      <c r="G102" s="1">
        <v>15</v>
      </c>
      <c r="H102" s="1">
        <v>0</v>
      </c>
      <c r="I102" s="1">
        <v>0</v>
      </c>
      <c r="J102" s="1">
        <v>0</v>
      </c>
      <c r="K102" s="1">
        <v>0</v>
      </c>
      <c r="L102" s="1">
        <v>0</v>
      </c>
      <c r="M102" s="1">
        <v>21</v>
      </c>
      <c r="N102" s="1">
        <v>0</v>
      </c>
      <c r="O102" s="1">
        <v>0</v>
      </c>
      <c r="P102" s="1">
        <v>0</v>
      </c>
      <c r="Q102" s="1">
        <v>0</v>
      </c>
      <c r="R102" s="1">
        <v>0</v>
      </c>
      <c r="S102" s="1">
        <v>0</v>
      </c>
      <c r="T102" s="1">
        <v>0</v>
      </c>
      <c r="U102" s="1" t="s">
        <v>35</v>
      </c>
      <c r="V102" s="1" t="s">
        <v>35</v>
      </c>
      <c r="W102" s="1" t="s">
        <v>372</v>
      </c>
      <c r="X102" s="1" t="s">
        <v>35</v>
      </c>
      <c r="Y102" s="4" t="str">
        <f>IFERROR(VLOOKUP(F:F,#REF!,2,0),"需要手动检查")</f>
        <v>需要手动检查</v>
      </c>
      <c r="Z102" s="5" t="str">
        <f t="shared" si="1"/>
        <v>否</v>
      </c>
      <c r="AA102" s="6" t="s">
        <v>38</v>
      </c>
    </row>
    <row r="103" customHeight="1" spans="1:27">
      <c r="A103" s="1" t="s">
        <v>516</v>
      </c>
      <c r="B103" s="1" t="s">
        <v>517</v>
      </c>
      <c r="C103" s="1" t="s">
        <v>518</v>
      </c>
      <c r="D103" s="1" t="s">
        <v>519</v>
      </c>
      <c r="E103" s="1" t="s">
        <v>520</v>
      </c>
      <c r="F103" s="1" t="s">
        <v>77</v>
      </c>
      <c r="G103" s="1">
        <v>0</v>
      </c>
      <c r="H103" s="1">
        <v>0</v>
      </c>
      <c r="I103" s="1">
        <v>0</v>
      </c>
      <c r="J103" s="1">
        <v>0</v>
      </c>
      <c r="K103" s="1">
        <v>0</v>
      </c>
      <c r="L103" s="1">
        <v>0</v>
      </c>
      <c r="M103" s="1">
        <v>1</v>
      </c>
      <c r="N103" s="1">
        <v>0</v>
      </c>
      <c r="O103" s="1">
        <v>0</v>
      </c>
      <c r="P103" s="1">
        <v>0</v>
      </c>
      <c r="Q103" s="1">
        <v>0</v>
      </c>
      <c r="R103" s="1">
        <v>0</v>
      </c>
      <c r="S103" s="1">
        <v>0</v>
      </c>
      <c r="T103" s="1">
        <v>0</v>
      </c>
      <c r="U103" s="1" t="s">
        <v>35</v>
      </c>
      <c r="V103" s="1" t="s">
        <v>35</v>
      </c>
      <c r="W103" s="1" t="s">
        <v>35</v>
      </c>
      <c r="X103" s="1" t="s">
        <v>35</v>
      </c>
      <c r="Y103" s="4" t="str">
        <f>IFERROR(VLOOKUP(F:F,#REF!,2,0),"需要手动检查")</f>
        <v>需要手动检查</v>
      </c>
      <c r="Z103" s="5" t="str">
        <f t="shared" si="1"/>
        <v>否</v>
      </c>
      <c r="AA103" s="6" t="s">
        <v>48</v>
      </c>
    </row>
    <row r="104" customHeight="1" spans="1:27">
      <c r="A104" s="1" t="s">
        <v>521</v>
      </c>
      <c r="B104" s="1" t="s">
        <v>522</v>
      </c>
      <c r="C104" s="1" t="s">
        <v>523</v>
      </c>
      <c r="D104" s="1" t="s">
        <v>524</v>
      </c>
      <c r="E104" s="1" t="s">
        <v>525</v>
      </c>
      <c r="F104" s="1" t="s">
        <v>77</v>
      </c>
      <c r="G104" s="1">
        <v>39</v>
      </c>
      <c r="H104" s="1">
        <v>1</v>
      </c>
      <c r="I104" s="1">
        <v>0</v>
      </c>
      <c r="J104" s="1">
        <v>0</v>
      </c>
      <c r="K104" s="1">
        <v>0</v>
      </c>
      <c r="L104" s="1">
        <v>0</v>
      </c>
      <c r="M104" s="1">
        <v>48</v>
      </c>
      <c r="N104" s="1">
        <v>1</v>
      </c>
      <c r="O104" s="1">
        <v>0</v>
      </c>
      <c r="P104" s="1">
        <v>0</v>
      </c>
      <c r="Q104" s="1">
        <v>0</v>
      </c>
      <c r="R104" s="1">
        <v>0</v>
      </c>
      <c r="S104" s="1">
        <v>0</v>
      </c>
      <c r="T104" s="1">
        <v>0</v>
      </c>
      <c r="U104" s="1" t="s">
        <v>526</v>
      </c>
      <c r="V104" s="1" t="s">
        <v>35</v>
      </c>
      <c r="W104" s="1" t="s">
        <v>35</v>
      </c>
      <c r="X104" s="1" t="s">
        <v>35</v>
      </c>
      <c r="Y104" s="4" t="str">
        <f>IFERROR(VLOOKUP(F:F,#REF!,2,0),"需要手动检查")</f>
        <v>需要手动检查</v>
      </c>
      <c r="Z104" s="5" t="str">
        <f t="shared" si="1"/>
        <v>否</v>
      </c>
      <c r="AA104" s="6" t="s">
        <v>38</v>
      </c>
    </row>
    <row r="105" customHeight="1" spans="1:27">
      <c r="A105" s="1" t="s">
        <v>527</v>
      </c>
      <c r="B105" s="1" t="s">
        <v>528</v>
      </c>
      <c r="C105" s="1" t="s">
        <v>529</v>
      </c>
      <c r="D105" s="1" t="s">
        <v>530</v>
      </c>
      <c r="E105" s="1" t="s">
        <v>531</v>
      </c>
      <c r="F105" s="1" t="s">
        <v>77</v>
      </c>
      <c r="G105" s="1">
        <v>5</v>
      </c>
      <c r="H105" s="1">
        <v>0</v>
      </c>
      <c r="I105" s="1">
        <v>0</v>
      </c>
      <c r="J105" s="1">
        <v>0</v>
      </c>
      <c r="K105" s="1">
        <v>0</v>
      </c>
      <c r="L105" s="1">
        <v>0</v>
      </c>
      <c r="M105" s="1">
        <v>8</v>
      </c>
      <c r="N105" s="1">
        <v>0</v>
      </c>
      <c r="O105" s="1">
        <v>0</v>
      </c>
      <c r="P105" s="1">
        <v>0</v>
      </c>
      <c r="Q105" s="1">
        <v>0</v>
      </c>
      <c r="R105" s="1">
        <v>0</v>
      </c>
      <c r="S105" s="1">
        <v>0</v>
      </c>
      <c r="T105" s="1">
        <v>0</v>
      </c>
      <c r="U105" s="1" t="s">
        <v>35</v>
      </c>
      <c r="V105" s="1" t="s">
        <v>35</v>
      </c>
      <c r="W105" s="1" t="s">
        <v>35</v>
      </c>
      <c r="X105" s="1" t="s">
        <v>35</v>
      </c>
      <c r="Y105" s="4" t="str">
        <f>IFERROR(VLOOKUP(F:F,#REF!,2,0),"需要手动检查")</f>
        <v>需要手动检查</v>
      </c>
      <c r="Z105" s="5" t="str">
        <f t="shared" si="1"/>
        <v>否</v>
      </c>
      <c r="AA105" s="6" t="s">
        <v>48</v>
      </c>
    </row>
    <row r="106" customHeight="1" spans="1:27">
      <c r="A106" s="1" t="s">
        <v>532</v>
      </c>
      <c r="B106" s="1" t="s">
        <v>533</v>
      </c>
      <c r="C106" s="1" t="s">
        <v>534</v>
      </c>
      <c r="D106" s="1" t="s">
        <v>535</v>
      </c>
      <c r="E106" s="1" t="s">
        <v>536</v>
      </c>
      <c r="F106" s="1" t="s">
        <v>77</v>
      </c>
      <c r="G106" s="1">
        <v>0</v>
      </c>
      <c r="H106" s="1">
        <v>0</v>
      </c>
      <c r="I106" s="1">
        <v>0</v>
      </c>
      <c r="J106" s="1">
        <v>0</v>
      </c>
      <c r="K106" s="1">
        <v>0</v>
      </c>
      <c r="L106" s="1">
        <v>0</v>
      </c>
      <c r="M106" s="1">
        <v>1</v>
      </c>
      <c r="N106" s="1">
        <v>0</v>
      </c>
      <c r="O106" s="1">
        <v>0</v>
      </c>
      <c r="P106" s="1">
        <v>0</v>
      </c>
      <c r="Q106" s="1">
        <v>0</v>
      </c>
      <c r="R106" s="1">
        <v>0</v>
      </c>
      <c r="S106" s="1">
        <v>0</v>
      </c>
      <c r="T106" s="1">
        <v>0</v>
      </c>
      <c r="U106" s="1" t="s">
        <v>35</v>
      </c>
      <c r="V106" s="1" t="s">
        <v>35</v>
      </c>
      <c r="W106" s="1" t="s">
        <v>35</v>
      </c>
      <c r="X106" s="1" t="s">
        <v>35</v>
      </c>
      <c r="Y106" s="4" t="str">
        <f>IFERROR(VLOOKUP(F:F,#REF!,2,0),"需要手动检查")</f>
        <v>需要手动检查</v>
      </c>
      <c r="Z106" s="5" t="str">
        <f t="shared" si="1"/>
        <v>否</v>
      </c>
      <c r="AA106" s="6" t="s">
        <v>38</v>
      </c>
    </row>
    <row r="107" customHeight="1" spans="1:27">
      <c r="A107" s="1" t="s">
        <v>367</v>
      </c>
      <c r="B107" s="1" t="s">
        <v>368</v>
      </c>
      <c r="C107" s="1" t="s">
        <v>537</v>
      </c>
      <c r="D107" s="1" t="s">
        <v>538</v>
      </c>
      <c r="E107" s="1" t="s">
        <v>539</v>
      </c>
      <c r="F107" s="1" t="s">
        <v>77</v>
      </c>
      <c r="G107" s="1">
        <v>23</v>
      </c>
      <c r="H107" s="1">
        <v>0</v>
      </c>
      <c r="I107" s="1">
        <v>0</v>
      </c>
      <c r="J107" s="1">
        <v>0</v>
      </c>
      <c r="K107" s="1">
        <v>0</v>
      </c>
      <c r="L107" s="1">
        <v>0</v>
      </c>
      <c r="M107" s="1">
        <v>40</v>
      </c>
      <c r="N107" s="1">
        <v>1</v>
      </c>
      <c r="O107" s="1">
        <v>0</v>
      </c>
      <c r="P107" s="1">
        <v>0</v>
      </c>
      <c r="Q107" s="1">
        <v>0</v>
      </c>
      <c r="R107" s="1">
        <v>0</v>
      </c>
      <c r="S107" s="1">
        <v>0</v>
      </c>
      <c r="T107" s="1">
        <v>0</v>
      </c>
      <c r="U107" s="1" t="s">
        <v>540</v>
      </c>
      <c r="V107" s="1" t="s">
        <v>35</v>
      </c>
      <c r="W107" s="1" t="s">
        <v>35</v>
      </c>
      <c r="X107" s="1" t="s">
        <v>35</v>
      </c>
      <c r="Y107" s="4" t="str">
        <f>IFERROR(VLOOKUP(F:F,#REF!,2,0),"需要手动检查")</f>
        <v>需要手动检查</v>
      </c>
      <c r="Z107" s="5" t="str">
        <f t="shared" si="1"/>
        <v>否</v>
      </c>
      <c r="AA107" s="6" t="s">
        <v>48</v>
      </c>
    </row>
    <row r="108" customHeight="1" spans="1:27">
      <c r="A108" s="1" t="s">
        <v>541</v>
      </c>
      <c r="B108" s="1" t="s">
        <v>542</v>
      </c>
      <c r="C108" s="1" t="s">
        <v>543</v>
      </c>
      <c r="D108" s="1" t="s">
        <v>544</v>
      </c>
      <c r="E108" s="1" t="s">
        <v>545</v>
      </c>
      <c r="F108" s="1" t="s">
        <v>77</v>
      </c>
      <c r="G108" s="1">
        <v>16</v>
      </c>
      <c r="H108" s="1">
        <v>0</v>
      </c>
      <c r="I108" s="1">
        <v>0</v>
      </c>
      <c r="J108" s="1">
        <v>0</v>
      </c>
      <c r="K108" s="1">
        <v>0</v>
      </c>
      <c r="L108" s="1">
        <v>0</v>
      </c>
      <c r="M108" s="1">
        <v>22</v>
      </c>
      <c r="N108" s="1">
        <v>0</v>
      </c>
      <c r="O108" s="1">
        <v>0</v>
      </c>
      <c r="P108" s="1">
        <v>0</v>
      </c>
      <c r="Q108" s="1">
        <v>0</v>
      </c>
      <c r="R108" s="1">
        <v>0</v>
      </c>
      <c r="S108" s="1">
        <v>0</v>
      </c>
      <c r="T108" s="1">
        <v>0</v>
      </c>
      <c r="U108" s="1" t="s">
        <v>35</v>
      </c>
      <c r="V108" s="1" t="s">
        <v>35</v>
      </c>
      <c r="W108" s="1" t="s">
        <v>35</v>
      </c>
      <c r="X108" s="1" t="s">
        <v>35</v>
      </c>
      <c r="Y108" s="4" t="str">
        <f>IFERROR(VLOOKUP(F:F,#REF!,2,0),"需要手动检查")</f>
        <v>需要手动检查</v>
      </c>
      <c r="Z108" s="5" t="str">
        <f t="shared" si="1"/>
        <v>否</v>
      </c>
      <c r="AA108" s="6" t="s">
        <v>38</v>
      </c>
    </row>
    <row r="109" customHeight="1" spans="1:27">
      <c r="A109" s="1" t="s">
        <v>546</v>
      </c>
      <c r="B109" s="1" t="s">
        <v>547</v>
      </c>
      <c r="C109" s="1" t="s">
        <v>548</v>
      </c>
      <c r="D109" s="1" t="s">
        <v>549</v>
      </c>
      <c r="E109" s="1" t="s">
        <v>550</v>
      </c>
      <c r="F109" s="1" t="s">
        <v>77</v>
      </c>
      <c r="G109" s="1">
        <v>7</v>
      </c>
      <c r="H109" s="1">
        <v>0</v>
      </c>
      <c r="I109" s="1">
        <v>0</v>
      </c>
      <c r="J109" s="1">
        <v>0</v>
      </c>
      <c r="K109" s="1">
        <v>0</v>
      </c>
      <c r="L109" s="1">
        <v>0</v>
      </c>
      <c r="M109" s="1">
        <v>8</v>
      </c>
      <c r="N109" s="1">
        <v>0</v>
      </c>
      <c r="O109" s="1">
        <v>0</v>
      </c>
      <c r="P109" s="1">
        <v>0</v>
      </c>
      <c r="Q109" s="1">
        <v>0</v>
      </c>
      <c r="R109" s="1">
        <v>0</v>
      </c>
      <c r="S109" s="1">
        <v>0</v>
      </c>
      <c r="T109" s="1">
        <v>0</v>
      </c>
      <c r="U109" s="1" t="s">
        <v>35</v>
      </c>
      <c r="V109" s="1" t="s">
        <v>35</v>
      </c>
      <c r="W109" s="1" t="s">
        <v>35</v>
      </c>
      <c r="X109" s="1" t="s">
        <v>35</v>
      </c>
      <c r="Y109" s="4" t="str">
        <f>IFERROR(VLOOKUP(F:F,#REF!,2,0),"需要手动检查")</f>
        <v>需要手动检查</v>
      </c>
      <c r="Z109" s="5" t="str">
        <f t="shared" si="1"/>
        <v>否</v>
      </c>
      <c r="AA109" s="6" t="s">
        <v>48</v>
      </c>
    </row>
    <row r="110" customHeight="1" spans="1:27">
      <c r="A110" s="1" t="s">
        <v>551</v>
      </c>
      <c r="B110" s="1" t="s">
        <v>552</v>
      </c>
      <c r="C110" s="1" t="s">
        <v>553</v>
      </c>
      <c r="D110" s="1" t="s">
        <v>554</v>
      </c>
      <c r="E110" s="1" t="s">
        <v>555</v>
      </c>
      <c r="F110" s="1" t="s">
        <v>77</v>
      </c>
      <c r="G110" s="1">
        <v>13</v>
      </c>
      <c r="H110" s="1">
        <v>0</v>
      </c>
      <c r="I110" s="1">
        <v>0</v>
      </c>
      <c r="J110" s="1">
        <v>0</v>
      </c>
      <c r="K110" s="1">
        <v>0</v>
      </c>
      <c r="L110" s="1">
        <v>0</v>
      </c>
      <c r="M110" s="1">
        <v>26</v>
      </c>
      <c r="N110" s="1">
        <v>0</v>
      </c>
      <c r="O110" s="1">
        <v>0</v>
      </c>
      <c r="P110" s="1">
        <v>0</v>
      </c>
      <c r="Q110" s="1">
        <v>0</v>
      </c>
      <c r="R110" s="1">
        <v>0</v>
      </c>
      <c r="S110" s="1">
        <v>0</v>
      </c>
      <c r="T110" s="1">
        <v>0</v>
      </c>
      <c r="U110" s="1" t="s">
        <v>35</v>
      </c>
      <c r="V110" s="1" t="s">
        <v>35</v>
      </c>
      <c r="W110" s="1" t="s">
        <v>35</v>
      </c>
      <c r="X110" s="1" t="s">
        <v>35</v>
      </c>
      <c r="Y110" s="4" t="str">
        <f>IFERROR(VLOOKUP(F:F,#REF!,2,0),"需要手动检查")</f>
        <v>需要手动检查</v>
      </c>
      <c r="Z110" s="5" t="str">
        <f t="shared" si="1"/>
        <v>否</v>
      </c>
      <c r="AA110" s="6" t="s">
        <v>38</v>
      </c>
    </row>
    <row r="111" customHeight="1" spans="1:27">
      <c r="A111" s="1" t="s">
        <v>556</v>
      </c>
      <c r="B111" s="1" t="s">
        <v>557</v>
      </c>
      <c r="C111" s="1" t="s">
        <v>71</v>
      </c>
      <c r="D111" s="1" t="s">
        <v>558</v>
      </c>
      <c r="E111" s="1" t="s">
        <v>559</v>
      </c>
      <c r="F111" s="1" t="s">
        <v>77</v>
      </c>
      <c r="G111" s="1">
        <v>2</v>
      </c>
      <c r="H111" s="1">
        <v>0</v>
      </c>
      <c r="I111" s="1">
        <v>0</v>
      </c>
      <c r="J111" s="1">
        <v>0</v>
      </c>
      <c r="K111" s="1">
        <v>0</v>
      </c>
      <c r="L111" s="1">
        <v>0</v>
      </c>
      <c r="M111" s="1">
        <v>2</v>
      </c>
      <c r="N111" s="1">
        <v>0</v>
      </c>
      <c r="O111" s="1">
        <v>0</v>
      </c>
      <c r="P111" s="1">
        <v>0</v>
      </c>
      <c r="Q111" s="1">
        <v>0</v>
      </c>
      <c r="R111" s="1">
        <v>0</v>
      </c>
      <c r="S111" s="1">
        <v>0</v>
      </c>
      <c r="T111" s="1">
        <v>0</v>
      </c>
      <c r="U111" s="1" t="s">
        <v>35</v>
      </c>
      <c r="V111" s="1" t="s">
        <v>35</v>
      </c>
      <c r="W111" s="1" t="s">
        <v>412</v>
      </c>
      <c r="X111" s="1" t="s">
        <v>35</v>
      </c>
      <c r="Y111" s="4" t="str">
        <f>IFERROR(VLOOKUP(F:F,#REF!,2,0),"需要手动检查")</f>
        <v>需要手动检查</v>
      </c>
      <c r="Z111" s="5" t="str">
        <f t="shared" si="1"/>
        <v>否</v>
      </c>
      <c r="AA111" s="6" t="s">
        <v>48</v>
      </c>
    </row>
    <row r="112" customHeight="1" spans="1:27">
      <c r="A112" s="1" t="s">
        <v>560</v>
      </c>
      <c r="B112" s="1" t="s">
        <v>561</v>
      </c>
      <c r="C112" s="1" t="s">
        <v>392</v>
      </c>
      <c r="D112" s="1" t="s">
        <v>562</v>
      </c>
      <c r="E112" s="1" t="s">
        <v>563</v>
      </c>
      <c r="F112" s="1" t="s">
        <v>77</v>
      </c>
      <c r="G112" s="1">
        <v>58</v>
      </c>
      <c r="H112" s="1">
        <v>0</v>
      </c>
      <c r="I112" s="1">
        <v>0</v>
      </c>
      <c r="J112" s="1">
        <v>0</v>
      </c>
      <c r="K112" s="1">
        <v>0</v>
      </c>
      <c r="L112" s="1">
        <v>0</v>
      </c>
      <c r="M112" s="1">
        <v>52</v>
      </c>
      <c r="N112" s="1">
        <v>3</v>
      </c>
      <c r="O112" s="1">
        <v>0</v>
      </c>
      <c r="P112" s="1">
        <v>0</v>
      </c>
      <c r="Q112" s="1">
        <v>0</v>
      </c>
      <c r="R112" s="1">
        <v>0</v>
      </c>
      <c r="S112" s="1">
        <v>0</v>
      </c>
      <c r="T112" s="1">
        <v>0</v>
      </c>
      <c r="U112" s="1" t="s">
        <v>564</v>
      </c>
      <c r="V112" s="1" t="s">
        <v>35</v>
      </c>
      <c r="W112" s="1" t="s">
        <v>35</v>
      </c>
      <c r="X112" s="1" t="s">
        <v>35</v>
      </c>
      <c r="Y112" s="4" t="str">
        <f>IFERROR(VLOOKUP(F:F,#REF!,2,0),"需要手动检查")</f>
        <v>需要手动检查</v>
      </c>
      <c r="Z112" s="5" t="str">
        <f t="shared" si="1"/>
        <v>否</v>
      </c>
      <c r="AA112" s="6" t="s">
        <v>38</v>
      </c>
    </row>
    <row r="113" customHeight="1" spans="1:27">
      <c r="A113" s="1" t="s">
        <v>565</v>
      </c>
      <c r="B113" s="1" t="s">
        <v>566</v>
      </c>
      <c r="C113" s="1" t="s">
        <v>567</v>
      </c>
      <c r="D113" s="1" t="s">
        <v>568</v>
      </c>
      <c r="E113" s="1" t="s">
        <v>569</v>
      </c>
      <c r="F113" s="1" t="s">
        <v>77</v>
      </c>
      <c r="G113" s="1">
        <v>37</v>
      </c>
      <c r="H113" s="1">
        <v>0</v>
      </c>
      <c r="I113" s="1">
        <v>0</v>
      </c>
      <c r="J113" s="1">
        <v>0</v>
      </c>
      <c r="K113" s="1">
        <v>0</v>
      </c>
      <c r="L113" s="1">
        <v>0</v>
      </c>
      <c r="M113" s="1">
        <v>33</v>
      </c>
      <c r="N113" s="1">
        <v>0</v>
      </c>
      <c r="O113" s="1">
        <v>0</v>
      </c>
      <c r="P113" s="1">
        <v>0</v>
      </c>
      <c r="Q113" s="1">
        <v>0</v>
      </c>
      <c r="R113" s="1">
        <v>0</v>
      </c>
      <c r="S113" s="1">
        <v>0</v>
      </c>
      <c r="T113" s="1">
        <v>0</v>
      </c>
      <c r="U113" s="1" t="s">
        <v>35</v>
      </c>
      <c r="V113" s="1" t="s">
        <v>35</v>
      </c>
      <c r="W113" s="1" t="s">
        <v>35</v>
      </c>
      <c r="X113" s="1" t="s">
        <v>35</v>
      </c>
      <c r="Y113" s="4" t="str">
        <f>IFERROR(VLOOKUP(F:F,#REF!,2,0),"需要手动检查")</f>
        <v>需要手动检查</v>
      </c>
      <c r="Z113" s="5" t="str">
        <f t="shared" si="1"/>
        <v>否</v>
      </c>
      <c r="AA113" s="6" t="s">
        <v>48</v>
      </c>
    </row>
    <row r="114" customHeight="1" spans="1:27">
      <c r="A114" s="1" t="s">
        <v>570</v>
      </c>
      <c r="B114" s="1" t="s">
        <v>571</v>
      </c>
      <c r="C114" s="1" t="s">
        <v>71</v>
      </c>
      <c r="D114" s="1" t="s">
        <v>572</v>
      </c>
      <c r="E114" s="1" t="s">
        <v>573</v>
      </c>
      <c r="F114" s="1" t="s">
        <v>77</v>
      </c>
      <c r="G114" s="1">
        <v>185</v>
      </c>
      <c r="H114" s="1">
        <v>0</v>
      </c>
      <c r="I114" s="1">
        <v>0</v>
      </c>
      <c r="J114" s="1">
        <v>0</v>
      </c>
      <c r="K114" s="1">
        <v>0</v>
      </c>
      <c r="L114" s="1">
        <v>0</v>
      </c>
      <c r="M114" s="1">
        <v>188</v>
      </c>
      <c r="N114" s="1">
        <v>1</v>
      </c>
      <c r="O114" s="1">
        <v>0</v>
      </c>
      <c r="P114" s="1">
        <v>0</v>
      </c>
      <c r="Q114" s="1">
        <v>0</v>
      </c>
      <c r="R114" s="1">
        <v>0</v>
      </c>
      <c r="S114" s="1">
        <v>0</v>
      </c>
      <c r="T114" s="1">
        <v>0</v>
      </c>
      <c r="U114" s="1" t="s">
        <v>574</v>
      </c>
      <c r="V114" s="1" t="s">
        <v>35</v>
      </c>
      <c r="W114" s="1" t="s">
        <v>575</v>
      </c>
      <c r="X114" s="1" t="s">
        <v>35</v>
      </c>
      <c r="Y114" s="4" t="str">
        <f>IFERROR(VLOOKUP(F:F,#REF!,2,0),"需要手动检查")</f>
        <v>需要手动检查</v>
      </c>
      <c r="Z114" s="5" t="str">
        <f t="shared" si="1"/>
        <v>否</v>
      </c>
      <c r="AA114" s="6" t="s">
        <v>38</v>
      </c>
    </row>
    <row r="115" customHeight="1" spans="1:27">
      <c r="A115" s="1" t="s">
        <v>576</v>
      </c>
      <c r="B115" s="1" t="s">
        <v>577</v>
      </c>
      <c r="C115" s="1" t="s">
        <v>578</v>
      </c>
      <c r="D115" s="1" t="s">
        <v>579</v>
      </c>
      <c r="E115" s="1" t="s">
        <v>580</v>
      </c>
      <c r="F115" s="1" t="s">
        <v>77</v>
      </c>
      <c r="G115" s="1">
        <v>1115</v>
      </c>
      <c r="H115" s="1">
        <v>6</v>
      </c>
      <c r="I115" s="1">
        <v>0</v>
      </c>
      <c r="J115" s="1">
        <v>0</v>
      </c>
      <c r="K115" s="1">
        <v>0</v>
      </c>
      <c r="L115" s="1">
        <v>0</v>
      </c>
      <c r="M115" s="1">
        <v>1089</v>
      </c>
      <c r="N115" s="1">
        <v>17</v>
      </c>
      <c r="O115" s="1">
        <v>0</v>
      </c>
      <c r="P115" s="1">
        <v>0</v>
      </c>
      <c r="Q115" s="1">
        <v>0</v>
      </c>
      <c r="R115" s="1">
        <v>0</v>
      </c>
      <c r="S115" s="1">
        <v>0</v>
      </c>
      <c r="T115" s="1">
        <v>0</v>
      </c>
      <c r="U115" s="1" t="s">
        <v>581</v>
      </c>
      <c r="V115" s="1" t="s">
        <v>35</v>
      </c>
      <c r="W115" s="1" t="s">
        <v>582</v>
      </c>
      <c r="X115" s="1" t="s">
        <v>35</v>
      </c>
      <c r="Y115" s="4" t="str">
        <f>IFERROR(VLOOKUP(F:F,#REF!,2,0),"需要手动检查")</f>
        <v>需要手动检查</v>
      </c>
      <c r="Z115" s="5" t="str">
        <f t="shared" si="1"/>
        <v>否</v>
      </c>
      <c r="AA115" s="6" t="s">
        <v>48</v>
      </c>
    </row>
    <row r="116" customHeight="1" spans="1:27">
      <c r="A116" s="1" t="s">
        <v>583</v>
      </c>
      <c r="B116" s="1" t="s">
        <v>584</v>
      </c>
      <c r="C116" s="1" t="s">
        <v>585</v>
      </c>
      <c r="D116" s="1" t="s">
        <v>586</v>
      </c>
      <c r="E116" s="1" t="s">
        <v>587</v>
      </c>
      <c r="F116" s="1" t="s">
        <v>77</v>
      </c>
      <c r="G116" s="1">
        <v>33</v>
      </c>
      <c r="H116" s="1">
        <v>0</v>
      </c>
      <c r="I116" s="1">
        <v>0</v>
      </c>
      <c r="J116" s="1">
        <v>0</v>
      </c>
      <c r="K116" s="1">
        <v>0</v>
      </c>
      <c r="L116" s="1">
        <v>0</v>
      </c>
      <c r="M116" s="1">
        <v>55</v>
      </c>
      <c r="N116" s="1">
        <v>0</v>
      </c>
      <c r="O116" s="1">
        <v>0</v>
      </c>
      <c r="P116" s="1">
        <v>0</v>
      </c>
      <c r="Q116" s="1">
        <v>0</v>
      </c>
      <c r="R116" s="1">
        <v>0</v>
      </c>
      <c r="S116" s="1">
        <v>0</v>
      </c>
      <c r="T116" s="1">
        <v>0</v>
      </c>
      <c r="U116" s="1" t="s">
        <v>35</v>
      </c>
      <c r="V116" s="1" t="s">
        <v>35</v>
      </c>
      <c r="W116" s="1" t="s">
        <v>35</v>
      </c>
      <c r="X116" s="1" t="s">
        <v>35</v>
      </c>
      <c r="Y116" s="4" t="str">
        <f>IFERROR(VLOOKUP(F:F,#REF!,2,0),"需要手动检查")</f>
        <v>需要手动检查</v>
      </c>
      <c r="Z116" s="5" t="str">
        <f t="shared" si="1"/>
        <v>否</v>
      </c>
      <c r="AA116" s="6" t="s">
        <v>38</v>
      </c>
    </row>
    <row r="117" customHeight="1" spans="1:27">
      <c r="A117" s="1" t="s">
        <v>149</v>
      </c>
      <c r="B117" s="1" t="s">
        <v>150</v>
      </c>
      <c r="C117" s="1" t="s">
        <v>588</v>
      </c>
      <c r="D117" s="1" t="s">
        <v>589</v>
      </c>
      <c r="E117" s="1" t="s">
        <v>590</v>
      </c>
      <c r="F117" s="1" t="s">
        <v>77</v>
      </c>
      <c r="G117" s="1">
        <v>24</v>
      </c>
      <c r="H117" s="1">
        <v>2</v>
      </c>
      <c r="I117" s="1">
        <v>0</v>
      </c>
      <c r="J117" s="1">
        <v>0</v>
      </c>
      <c r="K117" s="1">
        <v>1</v>
      </c>
      <c r="L117" s="1">
        <v>0</v>
      </c>
      <c r="M117" s="1">
        <v>25</v>
      </c>
      <c r="N117" s="1">
        <v>3</v>
      </c>
      <c r="O117" s="1">
        <v>0</v>
      </c>
      <c r="P117" s="1">
        <v>0</v>
      </c>
      <c r="Q117" s="1">
        <v>0</v>
      </c>
      <c r="R117" s="1">
        <v>0</v>
      </c>
      <c r="S117" s="1">
        <v>0</v>
      </c>
      <c r="T117" s="1">
        <v>0</v>
      </c>
      <c r="U117" s="1" t="s">
        <v>591</v>
      </c>
      <c r="V117" s="1" t="s">
        <v>35</v>
      </c>
      <c r="W117" s="1" t="s">
        <v>592</v>
      </c>
      <c r="X117" s="1" t="s">
        <v>35</v>
      </c>
      <c r="Y117" s="4" t="str">
        <f>IFERROR(VLOOKUP(F:F,#REF!,2,0),"需要手动检查")</f>
        <v>需要手动检查</v>
      </c>
      <c r="Z117" s="5" t="str">
        <f t="shared" si="1"/>
        <v>否</v>
      </c>
      <c r="AA117" s="6" t="s">
        <v>48</v>
      </c>
    </row>
    <row r="118" customHeight="1" spans="1:27">
      <c r="A118" s="1" t="s">
        <v>593</v>
      </c>
      <c r="B118" s="1" t="s">
        <v>594</v>
      </c>
      <c r="C118" s="1" t="s">
        <v>595</v>
      </c>
      <c r="D118" s="1" t="s">
        <v>596</v>
      </c>
      <c r="E118" s="1" t="s">
        <v>597</v>
      </c>
      <c r="F118" s="1" t="s">
        <v>77</v>
      </c>
      <c r="G118" s="1">
        <v>1</v>
      </c>
      <c r="H118" s="1">
        <v>0</v>
      </c>
      <c r="I118" s="1">
        <v>0</v>
      </c>
      <c r="J118" s="1">
        <v>0</v>
      </c>
      <c r="K118" s="1">
        <v>0</v>
      </c>
      <c r="L118" s="1">
        <v>0</v>
      </c>
      <c r="M118" s="1">
        <v>3</v>
      </c>
      <c r="N118" s="1">
        <v>0</v>
      </c>
      <c r="O118" s="1">
        <v>0</v>
      </c>
      <c r="P118" s="1">
        <v>0</v>
      </c>
      <c r="Q118" s="1">
        <v>0</v>
      </c>
      <c r="R118" s="1">
        <v>0</v>
      </c>
      <c r="S118" s="1">
        <v>0</v>
      </c>
      <c r="T118" s="1">
        <v>0</v>
      </c>
      <c r="U118" s="1" t="s">
        <v>35</v>
      </c>
      <c r="V118" s="1" t="s">
        <v>35</v>
      </c>
      <c r="W118" s="1" t="s">
        <v>35</v>
      </c>
      <c r="X118" s="1" t="s">
        <v>35</v>
      </c>
      <c r="Y118" s="4" t="str">
        <f>IFERROR(VLOOKUP(F:F,#REF!,2,0),"需要手动检查")</f>
        <v>需要手动检查</v>
      </c>
      <c r="Z118" s="5" t="str">
        <f t="shared" si="1"/>
        <v>否</v>
      </c>
      <c r="AA118" s="6" t="s">
        <v>38</v>
      </c>
    </row>
    <row r="119" customHeight="1" spans="1:27">
      <c r="A119" s="1" t="s">
        <v>598</v>
      </c>
      <c r="B119" s="1" t="s">
        <v>599</v>
      </c>
      <c r="C119" s="1" t="s">
        <v>600</v>
      </c>
      <c r="D119" s="1" t="s">
        <v>601</v>
      </c>
      <c r="E119" s="1" t="s">
        <v>602</v>
      </c>
      <c r="F119" s="1" t="s">
        <v>77</v>
      </c>
      <c r="G119" s="1">
        <v>2</v>
      </c>
      <c r="H119" s="1">
        <v>0</v>
      </c>
      <c r="I119" s="1">
        <v>0</v>
      </c>
      <c r="J119" s="1">
        <v>0</v>
      </c>
      <c r="K119" s="1">
        <v>0</v>
      </c>
      <c r="L119" s="1">
        <v>0</v>
      </c>
      <c r="M119" s="1">
        <v>5</v>
      </c>
      <c r="N119" s="1">
        <v>0</v>
      </c>
      <c r="O119" s="1">
        <v>0</v>
      </c>
      <c r="P119" s="1">
        <v>0</v>
      </c>
      <c r="Q119" s="1">
        <v>0</v>
      </c>
      <c r="R119" s="1">
        <v>0</v>
      </c>
      <c r="S119" s="1">
        <v>0</v>
      </c>
      <c r="T119" s="1">
        <v>0</v>
      </c>
      <c r="U119" s="1" t="s">
        <v>35</v>
      </c>
      <c r="V119" s="1" t="s">
        <v>35</v>
      </c>
      <c r="W119" s="1" t="s">
        <v>35</v>
      </c>
      <c r="X119" s="1" t="s">
        <v>35</v>
      </c>
      <c r="Y119" s="4" t="str">
        <f>IFERROR(VLOOKUP(F:F,#REF!,2,0),"需要手动检查")</f>
        <v>需要手动检查</v>
      </c>
      <c r="Z119" s="5" t="str">
        <f t="shared" si="1"/>
        <v>否</v>
      </c>
      <c r="AA119" s="6" t="s">
        <v>48</v>
      </c>
    </row>
    <row r="120" customHeight="1" spans="1:27">
      <c r="A120" s="1" t="s">
        <v>110</v>
      </c>
      <c r="B120" s="1" t="s">
        <v>111</v>
      </c>
      <c r="C120" s="1" t="s">
        <v>603</v>
      </c>
      <c r="D120" s="1" t="s">
        <v>604</v>
      </c>
      <c r="E120" s="1" t="s">
        <v>605</v>
      </c>
      <c r="F120" s="1" t="s">
        <v>71</v>
      </c>
      <c r="G120" s="1">
        <v>0</v>
      </c>
      <c r="H120" s="1">
        <v>0</v>
      </c>
      <c r="I120" s="1">
        <v>0</v>
      </c>
      <c r="J120" s="1">
        <v>0</v>
      </c>
      <c r="K120" s="1">
        <v>0</v>
      </c>
      <c r="L120" s="1">
        <v>0</v>
      </c>
      <c r="M120" s="1">
        <v>17</v>
      </c>
      <c r="N120" s="1">
        <v>0</v>
      </c>
      <c r="O120" s="1">
        <v>0</v>
      </c>
      <c r="P120" s="1">
        <v>0</v>
      </c>
      <c r="Q120" s="1">
        <v>0</v>
      </c>
      <c r="R120" s="1">
        <v>0</v>
      </c>
      <c r="S120" s="1">
        <v>0</v>
      </c>
      <c r="T120" s="1">
        <v>0</v>
      </c>
      <c r="U120" s="1" t="s">
        <v>35</v>
      </c>
      <c r="V120" s="1" t="s">
        <v>35</v>
      </c>
      <c r="W120" s="1" t="s">
        <v>35</v>
      </c>
      <c r="X120" s="1" t="s">
        <v>35</v>
      </c>
      <c r="Y120" s="4" t="str">
        <f>IFERROR(VLOOKUP(F:F,#REF!,2,0),"需要手动检查")</f>
        <v>需要手动检查</v>
      </c>
      <c r="Z120" s="5" t="str">
        <f t="shared" si="1"/>
        <v>否</v>
      </c>
      <c r="AA120" s="6" t="s">
        <v>38</v>
      </c>
    </row>
    <row r="121" customHeight="1" spans="1:27">
      <c r="A121" s="1" t="s">
        <v>110</v>
      </c>
      <c r="B121" s="1" t="s">
        <v>111</v>
      </c>
      <c r="C121" s="1" t="s">
        <v>603</v>
      </c>
      <c r="D121" s="1" t="s">
        <v>606</v>
      </c>
      <c r="E121" s="1" t="s">
        <v>605</v>
      </c>
      <c r="F121" s="1" t="s">
        <v>71</v>
      </c>
      <c r="G121" s="1">
        <v>0</v>
      </c>
      <c r="H121" s="1">
        <v>0</v>
      </c>
      <c r="I121" s="1">
        <v>0</v>
      </c>
      <c r="J121" s="1">
        <v>0</v>
      </c>
      <c r="K121" s="1">
        <v>0</v>
      </c>
      <c r="L121" s="1">
        <v>0</v>
      </c>
      <c r="M121" s="1">
        <v>2</v>
      </c>
      <c r="N121" s="1">
        <v>0</v>
      </c>
      <c r="O121" s="1">
        <v>0</v>
      </c>
      <c r="P121" s="1">
        <v>0</v>
      </c>
      <c r="Q121" s="1">
        <v>0</v>
      </c>
      <c r="R121" s="1">
        <v>0</v>
      </c>
      <c r="S121" s="1">
        <v>0</v>
      </c>
      <c r="T121" s="1">
        <v>0</v>
      </c>
      <c r="U121" s="1" t="s">
        <v>35</v>
      </c>
      <c r="V121" s="1" t="s">
        <v>35</v>
      </c>
      <c r="W121" s="1" t="s">
        <v>35</v>
      </c>
      <c r="X121" s="1" t="s">
        <v>35</v>
      </c>
      <c r="Y121" s="4" t="str">
        <f>IFERROR(VLOOKUP(F:F,#REF!,2,0),"需要手动检查")</f>
        <v>需要手动检查</v>
      </c>
      <c r="Z121" s="5" t="str">
        <f t="shared" si="1"/>
        <v>否</v>
      </c>
      <c r="AA121" s="6" t="s">
        <v>48</v>
      </c>
    </row>
    <row r="122" customHeight="1" spans="1:27">
      <c r="A122" s="1" t="s">
        <v>110</v>
      </c>
      <c r="B122" s="1" t="s">
        <v>111</v>
      </c>
      <c r="C122" s="1" t="s">
        <v>603</v>
      </c>
      <c r="D122" s="1" t="s">
        <v>607</v>
      </c>
      <c r="E122" s="1" t="s">
        <v>605</v>
      </c>
      <c r="F122" s="1" t="s">
        <v>71</v>
      </c>
      <c r="G122" s="1">
        <v>0</v>
      </c>
      <c r="H122" s="1">
        <v>0</v>
      </c>
      <c r="I122" s="1">
        <v>0</v>
      </c>
      <c r="J122" s="1">
        <v>0</v>
      </c>
      <c r="K122" s="1">
        <v>0</v>
      </c>
      <c r="L122" s="1">
        <v>0</v>
      </c>
      <c r="M122" s="1">
        <v>5</v>
      </c>
      <c r="N122" s="1">
        <v>0</v>
      </c>
      <c r="O122" s="1">
        <v>0</v>
      </c>
      <c r="P122" s="1">
        <v>0</v>
      </c>
      <c r="Q122" s="1">
        <v>0</v>
      </c>
      <c r="R122" s="1">
        <v>0</v>
      </c>
      <c r="S122" s="1">
        <v>0</v>
      </c>
      <c r="T122" s="1">
        <v>0</v>
      </c>
      <c r="U122" s="1" t="s">
        <v>35</v>
      </c>
      <c r="V122" s="1" t="s">
        <v>35</v>
      </c>
      <c r="W122" s="1" t="s">
        <v>35</v>
      </c>
      <c r="X122" s="1" t="s">
        <v>35</v>
      </c>
      <c r="Y122" s="4" t="str">
        <f>IFERROR(VLOOKUP(F:F,#REF!,2,0),"需要手动检查")</f>
        <v>需要手动检查</v>
      </c>
      <c r="Z122" s="5" t="str">
        <f t="shared" si="1"/>
        <v>否</v>
      </c>
      <c r="AA122" s="6" t="s">
        <v>38</v>
      </c>
    </row>
    <row r="123" customHeight="1" spans="1:27">
      <c r="A123" s="1" t="s">
        <v>608</v>
      </c>
      <c r="B123" s="1" t="s">
        <v>609</v>
      </c>
      <c r="C123" s="1" t="s">
        <v>610</v>
      </c>
      <c r="D123" s="1" t="s">
        <v>611</v>
      </c>
      <c r="E123" s="1" t="s">
        <v>612</v>
      </c>
      <c r="F123" s="1" t="s">
        <v>77</v>
      </c>
      <c r="G123" s="1">
        <v>1</v>
      </c>
      <c r="H123" s="1">
        <v>0</v>
      </c>
      <c r="I123" s="1">
        <v>0</v>
      </c>
      <c r="J123" s="1">
        <v>0</v>
      </c>
      <c r="K123" s="1">
        <v>0</v>
      </c>
      <c r="L123" s="1">
        <v>0</v>
      </c>
      <c r="M123" s="1">
        <v>0</v>
      </c>
      <c r="N123" s="1">
        <v>0</v>
      </c>
      <c r="O123" s="1">
        <v>0</v>
      </c>
      <c r="P123" s="1">
        <v>0</v>
      </c>
      <c r="Q123" s="1">
        <v>0</v>
      </c>
      <c r="R123" s="1">
        <v>0</v>
      </c>
      <c r="S123" s="1">
        <v>0</v>
      </c>
      <c r="T123" s="1">
        <v>0</v>
      </c>
      <c r="U123" s="1" t="s">
        <v>35</v>
      </c>
      <c r="V123" s="1" t="s">
        <v>35</v>
      </c>
      <c r="W123" s="1" t="s">
        <v>35</v>
      </c>
      <c r="X123" s="1" t="s">
        <v>35</v>
      </c>
      <c r="Y123" s="4" t="str">
        <f>IFERROR(VLOOKUP(F:F,#REF!,2,0),"需要手动检查")</f>
        <v>需要手动检查</v>
      </c>
      <c r="Z123" s="5" t="str">
        <f t="shared" si="1"/>
        <v>否</v>
      </c>
      <c r="AA123" s="6" t="s">
        <v>48</v>
      </c>
    </row>
    <row r="124" customHeight="1" spans="1:27">
      <c r="A124" s="1" t="s">
        <v>613</v>
      </c>
      <c r="B124" s="1" t="s">
        <v>614</v>
      </c>
      <c r="C124" s="1" t="s">
        <v>615</v>
      </c>
      <c r="D124" s="1" t="s">
        <v>616</v>
      </c>
      <c r="E124" s="1" t="s">
        <v>617</v>
      </c>
      <c r="F124" s="1" t="s">
        <v>77</v>
      </c>
      <c r="G124" s="1">
        <v>3</v>
      </c>
      <c r="H124" s="1">
        <v>1</v>
      </c>
      <c r="I124" s="1">
        <v>0</v>
      </c>
      <c r="J124" s="1">
        <v>0</v>
      </c>
      <c r="K124" s="1">
        <v>0</v>
      </c>
      <c r="L124" s="1">
        <v>0</v>
      </c>
      <c r="M124" s="1">
        <v>3</v>
      </c>
      <c r="N124" s="1">
        <v>1</v>
      </c>
      <c r="O124" s="1">
        <v>0</v>
      </c>
      <c r="P124" s="1">
        <v>0</v>
      </c>
      <c r="Q124" s="1">
        <v>0</v>
      </c>
      <c r="R124" s="1">
        <v>0</v>
      </c>
      <c r="S124" s="1">
        <v>0</v>
      </c>
      <c r="T124" s="1">
        <v>0</v>
      </c>
      <c r="U124" s="1" t="s">
        <v>618</v>
      </c>
      <c r="V124" s="1" t="s">
        <v>35</v>
      </c>
      <c r="W124" s="1" t="s">
        <v>35</v>
      </c>
      <c r="X124" s="1" t="s">
        <v>35</v>
      </c>
      <c r="Y124" s="4" t="str">
        <f>IFERROR(VLOOKUP(F:F,#REF!,2,0),"需要手动检查")</f>
        <v>需要手动检查</v>
      </c>
      <c r="Z124" s="5" t="str">
        <f t="shared" si="1"/>
        <v>否</v>
      </c>
      <c r="AA124" s="6" t="s">
        <v>38</v>
      </c>
    </row>
    <row r="125" customHeight="1" spans="1:27">
      <c r="A125" s="1" t="s">
        <v>619</v>
      </c>
      <c r="B125" s="1" t="s">
        <v>620</v>
      </c>
      <c r="C125" s="1" t="s">
        <v>621</v>
      </c>
      <c r="D125" s="1" t="s">
        <v>622</v>
      </c>
      <c r="E125" s="1" t="s">
        <v>623</v>
      </c>
      <c r="F125" s="1" t="s">
        <v>77</v>
      </c>
      <c r="G125" s="1">
        <v>70</v>
      </c>
      <c r="H125" s="1">
        <v>0</v>
      </c>
      <c r="I125" s="1">
        <v>0</v>
      </c>
      <c r="J125" s="1">
        <v>0</v>
      </c>
      <c r="K125" s="1">
        <v>0</v>
      </c>
      <c r="L125" s="1">
        <v>0</v>
      </c>
      <c r="M125" s="1">
        <v>65</v>
      </c>
      <c r="N125" s="1">
        <v>1</v>
      </c>
      <c r="O125" s="1">
        <v>0</v>
      </c>
      <c r="P125" s="1">
        <v>0</v>
      </c>
      <c r="Q125" s="1">
        <v>0</v>
      </c>
      <c r="R125" s="1">
        <v>0</v>
      </c>
      <c r="S125" s="1">
        <v>0</v>
      </c>
      <c r="T125" s="1">
        <v>0</v>
      </c>
      <c r="U125" s="1" t="s">
        <v>624</v>
      </c>
      <c r="V125" s="1" t="s">
        <v>35</v>
      </c>
      <c r="W125" s="1" t="s">
        <v>625</v>
      </c>
      <c r="X125" s="1" t="s">
        <v>35</v>
      </c>
      <c r="Y125" s="4" t="str">
        <f>IFERROR(VLOOKUP(F:F,#REF!,2,0),"需要手动检查")</f>
        <v>需要手动检查</v>
      </c>
      <c r="Z125" s="5" t="str">
        <f t="shared" si="1"/>
        <v>否</v>
      </c>
      <c r="AA125" s="6" t="s">
        <v>48</v>
      </c>
    </row>
    <row r="126" customHeight="1" spans="1:27">
      <c r="A126" s="1" t="s">
        <v>626</v>
      </c>
      <c r="B126" s="1" t="s">
        <v>627</v>
      </c>
      <c r="C126" s="1" t="s">
        <v>71</v>
      </c>
      <c r="D126" s="1" t="s">
        <v>628</v>
      </c>
      <c r="E126" s="1" t="s">
        <v>629</v>
      </c>
      <c r="F126" s="1" t="s">
        <v>77</v>
      </c>
      <c r="G126" s="1">
        <v>95</v>
      </c>
      <c r="H126" s="1">
        <v>2</v>
      </c>
      <c r="I126" s="1">
        <v>0</v>
      </c>
      <c r="J126" s="1">
        <v>0</v>
      </c>
      <c r="K126" s="1">
        <v>0</v>
      </c>
      <c r="L126" s="1">
        <v>0</v>
      </c>
      <c r="M126" s="1">
        <v>102</v>
      </c>
      <c r="N126" s="1">
        <v>1</v>
      </c>
      <c r="O126" s="1">
        <v>0</v>
      </c>
      <c r="P126" s="1">
        <v>0</v>
      </c>
      <c r="Q126" s="1">
        <v>0</v>
      </c>
      <c r="R126" s="1">
        <v>0</v>
      </c>
      <c r="S126" s="1">
        <v>0</v>
      </c>
      <c r="T126" s="1">
        <v>0</v>
      </c>
      <c r="U126" s="1" t="s">
        <v>630</v>
      </c>
      <c r="V126" s="1" t="s">
        <v>35</v>
      </c>
      <c r="W126" s="1" t="s">
        <v>631</v>
      </c>
      <c r="X126" s="1" t="s">
        <v>35</v>
      </c>
      <c r="Y126" s="4" t="str">
        <f>IFERROR(VLOOKUP(F:F,#REF!,2,0),"需要手动检查")</f>
        <v>需要手动检查</v>
      </c>
      <c r="Z126" s="5" t="str">
        <f t="shared" si="1"/>
        <v>否</v>
      </c>
      <c r="AA126" s="6" t="s">
        <v>38</v>
      </c>
    </row>
    <row r="127" customHeight="1" spans="1:27">
      <c r="A127" s="1" t="s">
        <v>632</v>
      </c>
      <c r="B127" s="1" t="s">
        <v>633</v>
      </c>
      <c r="C127" s="1" t="s">
        <v>634</v>
      </c>
      <c r="D127" s="1" t="s">
        <v>635</v>
      </c>
      <c r="E127" s="1" t="s">
        <v>636</v>
      </c>
      <c r="F127" s="1" t="s">
        <v>77</v>
      </c>
      <c r="G127" s="1">
        <v>3</v>
      </c>
      <c r="H127" s="1">
        <v>0</v>
      </c>
      <c r="I127" s="1">
        <v>0</v>
      </c>
      <c r="J127" s="1">
        <v>0</v>
      </c>
      <c r="K127" s="1">
        <v>0</v>
      </c>
      <c r="L127" s="1">
        <v>0</v>
      </c>
      <c r="M127" s="1">
        <v>3</v>
      </c>
      <c r="N127" s="1">
        <v>0</v>
      </c>
      <c r="O127" s="1">
        <v>0</v>
      </c>
      <c r="P127" s="1">
        <v>0</v>
      </c>
      <c r="Q127" s="1">
        <v>0</v>
      </c>
      <c r="R127" s="1">
        <v>0</v>
      </c>
      <c r="S127" s="1">
        <v>0</v>
      </c>
      <c r="T127" s="1">
        <v>0</v>
      </c>
      <c r="U127" s="1" t="s">
        <v>35</v>
      </c>
      <c r="V127" s="1" t="s">
        <v>35</v>
      </c>
      <c r="W127" s="1" t="s">
        <v>618</v>
      </c>
      <c r="X127" s="1" t="s">
        <v>35</v>
      </c>
      <c r="Y127" s="4" t="str">
        <f>IFERROR(VLOOKUP(F:F,#REF!,2,0),"需要手动检查")</f>
        <v>需要手动检查</v>
      </c>
      <c r="Z127" s="5" t="str">
        <f t="shared" si="1"/>
        <v>否</v>
      </c>
      <c r="AA127" s="6" t="s">
        <v>48</v>
      </c>
    </row>
    <row r="128" customHeight="1" spans="1:27">
      <c r="A128" s="1" t="s">
        <v>637</v>
      </c>
      <c r="B128" s="1" t="s">
        <v>638</v>
      </c>
      <c r="C128" s="1" t="s">
        <v>639</v>
      </c>
      <c r="D128" s="1" t="s">
        <v>640</v>
      </c>
      <c r="E128" s="1" t="s">
        <v>641</v>
      </c>
      <c r="F128" s="1" t="s">
        <v>77</v>
      </c>
      <c r="G128" s="1">
        <v>8</v>
      </c>
      <c r="H128" s="1">
        <v>0</v>
      </c>
      <c r="I128" s="1">
        <v>0</v>
      </c>
      <c r="J128" s="1">
        <v>0</v>
      </c>
      <c r="K128" s="1">
        <v>0</v>
      </c>
      <c r="L128" s="1">
        <v>0</v>
      </c>
      <c r="M128" s="1">
        <v>19</v>
      </c>
      <c r="N128" s="1">
        <v>0</v>
      </c>
      <c r="O128" s="1">
        <v>0</v>
      </c>
      <c r="P128" s="1">
        <v>0</v>
      </c>
      <c r="Q128" s="1">
        <v>0</v>
      </c>
      <c r="R128" s="1">
        <v>0</v>
      </c>
      <c r="S128" s="1">
        <v>0</v>
      </c>
      <c r="T128" s="1">
        <v>0</v>
      </c>
      <c r="U128" s="1" t="s">
        <v>35</v>
      </c>
      <c r="V128" s="1" t="s">
        <v>35</v>
      </c>
      <c r="W128" s="1" t="s">
        <v>35</v>
      </c>
      <c r="X128" s="1" t="s">
        <v>35</v>
      </c>
      <c r="Y128" s="4" t="str">
        <f>IFERROR(VLOOKUP(F:F,#REF!,2,0),"需要手动检查")</f>
        <v>需要手动检查</v>
      </c>
      <c r="Z128" s="5" t="str">
        <f t="shared" si="1"/>
        <v>否</v>
      </c>
      <c r="AA128" s="6" t="s">
        <v>38</v>
      </c>
    </row>
    <row r="129" customHeight="1" spans="1:27">
      <c r="A129" s="1" t="s">
        <v>642</v>
      </c>
      <c r="B129" s="1" t="s">
        <v>643</v>
      </c>
      <c r="C129" s="1" t="s">
        <v>644</v>
      </c>
      <c r="D129" s="1" t="s">
        <v>645</v>
      </c>
      <c r="E129" s="1" t="s">
        <v>646</v>
      </c>
      <c r="F129" s="1" t="s">
        <v>77</v>
      </c>
      <c r="G129" s="1">
        <v>23</v>
      </c>
      <c r="H129" s="1">
        <v>0</v>
      </c>
      <c r="I129" s="1">
        <v>0</v>
      </c>
      <c r="J129" s="1">
        <v>0</v>
      </c>
      <c r="K129" s="1">
        <v>0</v>
      </c>
      <c r="L129" s="1">
        <v>0</v>
      </c>
      <c r="M129" s="1">
        <v>22</v>
      </c>
      <c r="N129" s="1">
        <v>0</v>
      </c>
      <c r="O129" s="1">
        <v>0</v>
      </c>
      <c r="P129" s="1">
        <v>0</v>
      </c>
      <c r="Q129" s="1">
        <v>0</v>
      </c>
      <c r="R129" s="1">
        <v>0</v>
      </c>
      <c r="S129" s="1">
        <v>0</v>
      </c>
      <c r="T129" s="1">
        <v>0</v>
      </c>
      <c r="U129" s="1" t="s">
        <v>35</v>
      </c>
      <c r="V129" s="1" t="s">
        <v>35</v>
      </c>
      <c r="W129" s="1" t="s">
        <v>35</v>
      </c>
      <c r="X129" s="1" t="s">
        <v>35</v>
      </c>
      <c r="Y129" s="4" t="str">
        <f>IFERROR(VLOOKUP(F:F,#REF!,2,0),"需要手动检查")</f>
        <v>需要手动检查</v>
      </c>
      <c r="Z129" s="5" t="str">
        <f t="shared" si="1"/>
        <v>否</v>
      </c>
      <c r="AA129" s="6" t="s">
        <v>48</v>
      </c>
    </row>
    <row r="130" customHeight="1" spans="1:27">
      <c r="A130" s="1" t="s">
        <v>647</v>
      </c>
      <c r="B130" s="1" t="s">
        <v>648</v>
      </c>
      <c r="C130" s="1" t="s">
        <v>649</v>
      </c>
      <c r="D130" s="1" t="s">
        <v>650</v>
      </c>
      <c r="E130" s="1" t="s">
        <v>651</v>
      </c>
      <c r="F130" s="1" t="s">
        <v>77</v>
      </c>
      <c r="G130" s="1">
        <v>3</v>
      </c>
      <c r="H130" s="1">
        <v>1</v>
      </c>
      <c r="I130" s="1">
        <v>0</v>
      </c>
      <c r="J130" s="1">
        <v>0</v>
      </c>
      <c r="K130" s="1">
        <v>0</v>
      </c>
      <c r="L130" s="1">
        <v>0</v>
      </c>
      <c r="M130" s="1">
        <v>3</v>
      </c>
      <c r="N130" s="1">
        <v>0</v>
      </c>
      <c r="O130" s="1">
        <v>0</v>
      </c>
      <c r="P130" s="1">
        <v>0</v>
      </c>
      <c r="Q130" s="1">
        <v>0</v>
      </c>
      <c r="R130" s="1">
        <v>0</v>
      </c>
      <c r="S130" s="1">
        <v>0</v>
      </c>
      <c r="T130" s="1">
        <v>0</v>
      </c>
      <c r="U130" s="1" t="s">
        <v>35</v>
      </c>
      <c r="V130" s="1" t="s">
        <v>35</v>
      </c>
      <c r="W130" s="1" t="s">
        <v>35</v>
      </c>
      <c r="X130" s="1" t="s">
        <v>35</v>
      </c>
      <c r="Y130" s="4" t="str">
        <f>IFERROR(VLOOKUP(F:F,#REF!,2,0),"需要手动检查")</f>
        <v>需要手动检查</v>
      </c>
      <c r="Z130" s="5" t="str">
        <f t="shared" si="1"/>
        <v>否</v>
      </c>
      <c r="AA130" s="6" t="s">
        <v>38</v>
      </c>
    </row>
    <row r="131" customHeight="1" spans="1:27">
      <c r="A131" s="1" t="s">
        <v>110</v>
      </c>
      <c r="B131" s="1" t="s">
        <v>111</v>
      </c>
      <c r="C131" s="1" t="s">
        <v>206</v>
      </c>
      <c r="D131" s="1" t="s">
        <v>652</v>
      </c>
      <c r="E131" s="1" t="s">
        <v>653</v>
      </c>
      <c r="F131" s="1" t="s">
        <v>71</v>
      </c>
      <c r="G131" s="1">
        <v>0</v>
      </c>
      <c r="H131" s="1">
        <v>0</v>
      </c>
      <c r="I131" s="1">
        <v>0</v>
      </c>
      <c r="J131" s="1">
        <v>0</v>
      </c>
      <c r="K131" s="1">
        <v>0</v>
      </c>
      <c r="L131" s="1">
        <v>0</v>
      </c>
      <c r="M131" s="1">
        <v>86</v>
      </c>
      <c r="N131" s="1">
        <v>0</v>
      </c>
      <c r="O131" s="1">
        <v>0</v>
      </c>
      <c r="P131" s="1">
        <v>0</v>
      </c>
      <c r="Q131" s="1">
        <v>0</v>
      </c>
      <c r="R131" s="1">
        <v>0</v>
      </c>
      <c r="S131" s="1">
        <v>0</v>
      </c>
      <c r="T131" s="1">
        <v>0</v>
      </c>
      <c r="U131" s="1" t="s">
        <v>35</v>
      </c>
      <c r="V131" s="1" t="s">
        <v>35</v>
      </c>
      <c r="W131" s="1" t="s">
        <v>35</v>
      </c>
      <c r="X131" s="1" t="s">
        <v>35</v>
      </c>
      <c r="Y131" s="4" t="str">
        <f>IFERROR(VLOOKUP(F:F,#REF!,2,0),"需要手动检查")</f>
        <v>需要手动检查</v>
      </c>
      <c r="Z131" s="5" t="str">
        <f t="shared" si="1"/>
        <v>否</v>
      </c>
      <c r="AA131" s="6" t="s">
        <v>48</v>
      </c>
    </row>
    <row r="132" customHeight="1" spans="1:27">
      <c r="A132" s="1" t="s">
        <v>110</v>
      </c>
      <c r="B132" s="1" t="s">
        <v>111</v>
      </c>
      <c r="C132" s="1" t="s">
        <v>206</v>
      </c>
      <c r="D132" s="1" t="s">
        <v>654</v>
      </c>
      <c r="E132" s="1" t="s">
        <v>653</v>
      </c>
      <c r="F132" s="1" t="s">
        <v>71</v>
      </c>
      <c r="G132" s="1">
        <v>0</v>
      </c>
      <c r="H132" s="1">
        <v>0</v>
      </c>
      <c r="I132" s="1">
        <v>0</v>
      </c>
      <c r="J132" s="1">
        <v>0</v>
      </c>
      <c r="K132" s="1">
        <v>0</v>
      </c>
      <c r="L132" s="1">
        <v>0</v>
      </c>
      <c r="M132" s="1">
        <v>71</v>
      </c>
      <c r="N132" s="1">
        <v>3</v>
      </c>
      <c r="O132" s="1">
        <v>0</v>
      </c>
      <c r="P132" s="1">
        <v>0</v>
      </c>
      <c r="Q132" s="1">
        <v>0</v>
      </c>
      <c r="R132" s="1">
        <v>0</v>
      </c>
      <c r="S132" s="1">
        <v>0</v>
      </c>
      <c r="T132" s="1">
        <v>0</v>
      </c>
      <c r="U132" s="1" t="s">
        <v>35</v>
      </c>
      <c r="V132" s="1" t="s">
        <v>35</v>
      </c>
      <c r="W132" s="1" t="s">
        <v>35</v>
      </c>
      <c r="X132" s="1" t="s">
        <v>35</v>
      </c>
      <c r="Y132" s="4" t="str">
        <f>IFERROR(VLOOKUP(F:F,#REF!,2,0),"需要手动检查")</f>
        <v>需要手动检查</v>
      </c>
      <c r="Z132" s="5" t="str">
        <f t="shared" si="1"/>
        <v>否</v>
      </c>
      <c r="AA132" s="6" t="s">
        <v>38</v>
      </c>
    </row>
    <row r="133" customHeight="1" spans="1:27">
      <c r="A133" s="1" t="s">
        <v>110</v>
      </c>
      <c r="B133" s="1" t="s">
        <v>111</v>
      </c>
      <c r="C133" s="1" t="s">
        <v>206</v>
      </c>
      <c r="D133" s="1" t="s">
        <v>655</v>
      </c>
      <c r="E133" s="1" t="s">
        <v>653</v>
      </c>
      <c r="F133" s="1" t="s">
        <v>71</v>
      </c>
      <c r="G133" s="1">
        <v>0</v>
      </c>
      <c r="H133" s="1">
        <v>0</v>
      </c>
      <c r="I133" s="1">
        <v>0</v>
      </c>
      <c r="J133" s="1">
        <v>0</v>
      </c>
      <c r="K133" s="1">
        <v>0</v>
      </c>
      <c r="L133" s="1">
        <v>0</v>
      </c>
      <c r="M133" s="1">
        <v>22</v>
      </c>
      <c r="N133" s="1">
        <v>0</v>
      </c>
      <c r="O133" s="1">
        <v>0</v>
      </c>
      <c r="P133" s="1">
        <v>0</v>
      </c>
      <c r="Q133" s="1">
        <v>0</v>
      </c>
      <c r="R133" s="1">
        <v>0</v>
      </c>
      <c r="S133" s="1">
        <v>0</v>
      </c>
      <c r="T133" s="1">
        <v>45.99</v>
      </c>
      <c r="U133" s="1" t="s">
        <v>35</v>
      </c>
      <c r="V133" s="1" t="s">
        <v>35</v>
      </c>
      <c r="W133" s="1" t="s">
        <v>35</v>
      </c>
      <c r="X133" s="1" t="s">
        <v>35</v>
      </c>
      <c r="Y133" s="4" t="str">
        <f>IFERROR(VLOOKUP(F:F,#REF!,2,0),"需要手动检查")</f>
        <v>需要手动检查</v>
      </c>
      <c r="Z133" s="5" t="str">
        <f t="shared" ref="Z133:Z196" si="2">IF(R133&gt;0,"是","否")</f>
        <v>否</v>
      </c>
      <c r="AA133" s="6" t="s">
        <v>48</v>
      </c>
    </row>
    <row r="134" customHeight="1" spans="1:27">
      <c r="A134" s="1" t="s">
        <v>110</v>
      </c>
      <c r="B134" s="1" t="s">
        <v>111</v>
      </c>
      <c r="C134" s="1" t="s">
        <v>206</v>
      </c>
      <c r="D134" s="1" t="s">
        <v>656</v>
      </c>
      <c r="E134" s="1" t="s">
        <v>657</v>
      </c>
      <c r="F134" s="1" t="s">
        <v>71</v>
      </c>
      <c r="G134" s="1">
        <v>0</v>
      </c>
      <c r="H134" s="1">
        <v>0</v>
      </c>
      <c r="I134" s="1">
        <v>0</v>
      </c>
      <c r="J134" s="1">
        <v>0</v>
      </c>
      <c r="K134" s="1">
        <v>0</v>
      </c>
      <c r="L134" s="1">
        <v>0</v>
      </c>
      <c r="M134" s="1">
        <v>1</v>
      </c>
      <c r="N134" s="1">
        <v>0</v>
      </c>
      <c r="O134" s="1">
        <v>0</v>
      </c>
      <c r="P134" s="1">
        <v>0</v>
      </c>
      <c r="Q134" s="1">
        <v>0</v>
      </c>
      <c r="R134" s="1">
        <v>0</v>
      </c>
      <c r="S134" s="1">
        <v>0</v>
      </c>
      <c r="T134" s="1">
        <v>0</v>
      </c>
      <c r="U134" s="1" t="s">
        <v>35</v>
      </c>
      <c r="V134" s="1" t="s">
        <v>35</v>
      </c>
      <c r="W134" s="1" t="s">
        <v>35</v>
      </c>
      <c r="X134" s="1" t="s">
        <v>35</v>
      </c>
      <c r="Y134" s="4" t="str">
        <f>IFERROR(VLOOKUP(F:F,#REF!,2,0),"需要手动检查")</f>
        <v>需要手动检查</v>
      </c>
      <c r="Z134" s="5" t="str">
        <f t="shared" si="2"/>
        <v>否</v>
      </c>
      <c r="AA134" s="6" t="s">
        <v>38</v>
      </c>
    </row>
    <row r="135" customHeight="1" spans="1:27">
      <c r="A135" s="1" t="s">
        <v>110</v>
      </c>
      <c r="B135" s="1" t="s">
        <v>111</v>
      </c>
      <c r="C135" s="1" t="s">
        <v>206</v>
      </c>
      <c r="D135" s="1" t="s">
        <v>658</v>
      </c>
      <c r="E135" s="1" t="s">
        <v>653</v>
      </c>
      <c r="F135" s="1" t="s">
        <v>71</v>
      </c>
      <c r="G135" s="1">
        <v>0</v>
      </c>
      <c r="H135" s="1">
        <v>0</v>
      </c>
      <c r="I135" s="1">
        <v>0</v>
      </c>
      <c r="J135" s="1">
        <v>0</v>
      </c>
      <c r="K135" s="1">
        <v>0</v>
      </c>
      <c r="L135" s="1">
        <v>0</v>
      </c>
      <c r="M135" s="1">
        <v>6</v>
      </c>
      <c r="N135" s="1">
        <v>0</v>
      </c>
      <c r="O135" s="1">
        <v>0</v>
      </c>
      <c r="P135" s="1">
        <v>0</v>
      </c>
      <c r="Q135" s="1">
        <v>0</v>
      </c>
      <c r="R135" s="1">
        <v>0</v>
      </c>
      <c r="S135" s="1">
        <v>0</v>
      </c>
      <c r="T135" s="1">
        <v>0</v>
      </c>
      <c r="U135" s="1" t="s">
        <v>35</v>
      </c>
      <c r="V135" s="1" t="s">
        <v>35</v>
      </c>
      <c r="W135" s="1" t="s">
        <v>35</v>
      </c>
      <c r="X135" s="1" t="s">
        <v>35</v>
      </c>
      <c r="Y135" s="4" t="str">
        <f>IFERROR(VLOOKUP(F:F,#REF!,2,0),"需要手动检查")</f>
        <v>需要手动检查</v>
      </c>
      <c r="Z135" s="5" t="str">
        <f t="shared" si="2"/>
        <v>否</v>
      </c>
      <c r="AA135" s="6" t="s">
        <v>48</v>
      </c>
    </row>
    <row r="136" customHeight="1" spans="1:27">
      <c r="A136" s="1" t="s">
        <v>110</v>
      </c>
      <c r="B136" s="1" t="s">
        <v>111</v>
      </c>
      <c r="C136" s="1" t="s">
        <v>206</v>
      </c>
      <c r="D136" s="1" t="s">
        <v>659</v>
      </c>
      <c r="E136" s="1" t="s">
        <v>653</v>
      </c>
      <c r="F136" s="1" t="s">
        <v>71</v>
      </c>
      <c r="G136" s="1">
        <v>0</v>
      </c>
      <c r="H136" s="1">
        <v>0</v>
      </c>
      <c r="I136" s="1">
        <v>0</v>
      </c>
      <c r="J136" s="1">
        <v>0</v>
      </c>
      <c r="K136" s="1">
        <v>0</v>
      </c>
      <c r="L136" s="1">
        <v>0</v>
      </c>
      <c r="M136" s="1">
        <v>19</v>
      </c>
      <c r="N136" s="1">
        <v>0</v>
      </c>
      <c r="O136" s="1">
        <v>0</v>
      </c>
      <c r="P136" s="1">
        <v>0</v>
      </c>
      <c r="Q136" s="1">
        <v>0</v>
      </c>
      <c r="R136" s="1">
        <v>0</v>
      </c>
      <c r="S136" s="1">
        <v>0</v>
      </c>
      <c r="T136" s="1">
        <v>0</v>
      </c>
      <c r="U136" s="1" t="s">
        <v>35</v>
      </c>
      <c r="V136" s="1" t="s">
        <v>35</v>
      </c>
      <c r="W136" s="1" t="s">
        <v>35</v>
      </c>
      <c r="X136" s="1" t="s">
        <v>35</v>
      </c>
      <c r="Y136" s="4" t="str">
        <f>IFERROR(VLOOKUP(F:F,#REF!,2,0),"需要手动检查")</f>
        <v>需要手动检查</v>
      </c>
      <c r="Z136" s="5" t="str">
        <f t="shared" si="2"/>
        <v>否</v>
      </c>
      <c r="AA136" s="6" t="s">
        <v>38</v>
      </c>
    </row>
    <row r="137" customHeight="1" spans="1:27">
      <c r="A137" s="1" t="s">
        <v>660</v>
      </c>
      <c r="B137" s="1" t="s">
        <v>661</v>
      </c>
      <c r="C137" s="1" t="s">
        <v>662</v>
      </c>
      <c r="D137" s="1" t="s">
        <v>663</v>
      </c>
      <c r="E137" s="1" t="s">
        <v>664</v>
      </c>
      <c r="F137" s="1" t="s">
        <v>77</v>
      </c>
      <c r="G137" s="1">
        <v>10</v>
      </c>
      <c r="H137" s="1">
        <v>0</v>
      </c>
      <c r="I137" s="1">
        <v>0</v>
      </c>
      <c r="J137" s="1">
        <v>0</v>
      </c>
      <c r="K137" s="1">
        <v>0</v>
      </c>
      <c r="L137" s="1">
        <v>0</v>
      </c>
      <c r="M137" s="1">
        <v>7</v>
      </c>
      <c r="N137" s="1">
        <v>0</v>
      </c>
      <c r="O137" s="1">
        <v>0</v>
      </c>
      <c r="P137" s="1">
        <v>0</v>
      </c>
      <c r="Q137" s="1">
        <v>0</v>
      </c>
      <c r="R137" s="1">
        <v>0</v>
      </c>
      <c r="S137" s="1">
        <v>0</v>
      </c>
      <c r="T137" s="1">
        <v>0</v>
      </c>
      <c r="U137" s="1" t="s">
        <v>35</v>
      </c>
      <c r="V137" s="1" t="s">
        <v>35</v>
      </c>
      <c r="W137" s="1" t="s">
        <v>360</v>
      </c>
      <c r="X137" s="1" t="s">
        <v>35</v>
      </c>
      <c r="Y137" s="4" t="str">
        <f>IFERROR(VLOOKUP(F:F,#REF!,2,0),"需要手动检查")</f>
        <v>需要手动检查</v>
      </c>
      <c r="Z137" s="5" t="str">
        <f t="shared" si="2"/>
        <v>否</v>
      </c>
      <c r="AA137" s="6" t="s">
        <v>48</v>
      </c>
    </row>
    <row r="138" customHeight="1" spans="1:27">
      <c r="A138" s="1" t="s">
        <v>110</v>
      </c>
      <c r="B138" s="1" t="s">
        <v>111</v>
      </c>
      <c r="C138" s="1" t="s">
        <v>206</v>
      </c>
      <c r="D138" s="1" t="s">
        <v>665</v>
      </c>
      <c r="E138" s="1" t="s">
        <v>666</v>
      </c>
      <c r="F138" s="1" t="s">
        <v>71</v>
      </c>
      <c r="G138" s="1">
        <v>0</v>
      </c>
      <c r="H138" s="1">
        <v>0</v>
      </c>
      <c r="I138" s="1">
        <v>0</v>
      </c>
      <c r="J138" s="1">
        <v>0</v>
      </c>
      <c r="K138" s="1">
        <v>0</v>
      </c>
      <c r="L138" s="1">
        <v>0</v>
      </c>
      <c r="M138" s="1">
        <v>23</v>
      </c>
      <c r="N138" s="1">
        <v>0</v>
      </c>
      <c r="O138" s="1">
        <v>0</v>
      </c>
      <c r="P138" s="1">
        <v>0</v>
      </c>
      <c r="Q138" s="1">
        <v>0</v>
      </c>
      <c r="R138" s="1">
        <v>0</v>
      </c>
      <c r="S138" s="1">
        <v>0</v>
      </c>
      <c r="T138" s="1">
        <v>0</v>
      </c>
      <c r="U138" s="1" t="s">
        <v>35</v>
      </c>
      <c r="V138" s="1" t="s">
        <v>35</v>
      </c>
      <c r="W138" s="1" t="s">
        <v>35</v>
      </c>
      <c r="X138" s="1" t="s">
        <v>35</v>
      </c>
      <c r="Y138" s="4" t="str">
        <f>IFERROR(VLOOKUP(F:F,#REF!,2,0),"需要手动检查")</f>
        <v>需要手动检查</v>
      </c>
      <c r="Z138" s="5" t="str">
        <f t="shared" si="2"/>
        <v>否</v>
      </c>
      <c r="AA138" s="6" t="s">
        <v>38</v>
      </c>
    </row>
    <row r="139" customHeight="1" spans="1:27">
      <c r="A139" s="1" t="s">
        <v>110</v>
      </c>
      <c r="B139" s="1" t="s">
        <v>111</v>
      </c>
      <c r="C139" s="1" t="s">
        <v>206</v>
      </c>
      <c r="D139" s="1" t="s">
        <v>667</v>
      </c>
      <c r="E139" s="1" t="s">
        <v>666</v>
      </c>
      <c r="F139" s="1" t="s">
        <v>71</v>
      </c>
      <c r="G139" s="1">
        <v>0</v>
      </c>
      <c r="H139" s="1">
        <v>0</v>
      </c>
      <c r="I139" s="1">
        <v>0</v>
      </c>
      <c r="J139" s="1">
        <v>0</v>
      </c>
      <c r="K139" s="1">
        <v>0</v>
      </c>
      <c r="L139" s="1">
        <v>0</v>
      </c>
      <c r="M139" s="1">
        <v>27</v>
      </c>
      <c r="N139" s="1">
        <v>0</v>
      </c>
      <c r="O139" s="1">
        <v>0</v>
      </c>
      <c r="P139" s="1">
        <v>0</v>
      </c>
      <c r="Q139" s="1">
        <v>0</v>
      </c>
      <c r="R139" s="1">
        <v>0</v>
      </c>
      <c r="S139" s="1">
        <v>0</v>
      </c>
      <c r="T139" s="1">
        <v>0</v>
      </c>
      <c r="U139" s="1" t="s">
        <v>35</v>
      </c>
      <c r="V139" s="1" t="s">
        <v>35</v>
      </c>
      <c r="W139" s="1" t="s">
        <v>35</v>
      </c>
      <c r="X139" s="1" t="s">
        <v>35</v>
      </c>
      <c r="Y139" s="4" t="str">
        <f>IFERROR(VLOOKUP(F:F,#REF!,2,0),"需要手动检查")</f>
        <v>需要手动检查</v>
      </c>
      <c r="Z139" s="5" t="str">
        <f t="shared" si="2"/>
        <v>否</v>
      </c>
      <c r="AA139" s="6" t="s">
        <v>48</v>
      </c>
    </row>
    <row r="140" customHeight="1" spans="1:27">
      <c r="A140" s="1" t="s">
        <v>110</v>
      </c>
      <c r="B140" s="1" t="s">
        <v>111</v>
      </c>
      <c r="C140" s="1" t="s">
        <v>206</v>
      </c>
      <c r="D140" s="1" t="s">
        <v>668</v>
      </c>
      <c r="E140" s="1" t="s">
        <v>666</v>
      </c>
      <c r="F140" s="1" t="s">
        <v>71</v>
      </c>
      <c r="G140" s="1">
        <v>0</v>
      </c>
      <c r="H140" s="1">
        <v>0</v>
      </c>
      <c r="I140" s="1">
        <v>0</v>
      </c>
      <c r="J140" s="1">
        <v>0</v>
      </c>
      <c r="K140" s="1">
        <v>0</v>
      </c>
      <c r="L140" s="1">
        <v>0</v>
      </c>
      <c r="M140" s="1">
        <v>1</v>
      </c>
      <c r="N140" s="1">
        <v>0</v>
      </c>
      <c r="O140" s="1">
        <v>0</v>
      </c>
      <c r="P140" s="1">
        <v>0</v>
      </c>
      <c r="Q140" s="1">
        <v>0</v>
      </c>
      <c r="R140" s="1">
        <v>0</v>
      </c>
      <c r="S140" s="1">
        <v>0</v>
      </c>
      <c r="T140" s="1">
        <v>0</v>
      </c>
      <c r="U140" s="1" t="s">
        <v>35</v>
      </c>
      <c r="V140" s="1" t="s">
        <v>35</v>
      </c>
      <c r="W140" s="1" t="s">
        <v>35</v>
      </c>
      <c r="X140" s="1" t="s">
        <v>35</v>
      </c>
      <c r="Y140" s="4" t="str">
        <f>IFERROR(VLOOKUP(F:F,#REF!,2,0),"需要手动检查")</f>
        <v>需要手动检查</v>
      </c>
      <c r="Z140" s="5" t="str">
        <f t="shared" si="2"/>
        <v>否</v>
      </c>
      <c r="AA140" s="6" t="s">
        <v>38</v>
      </c>
    </row>
    <row r="141" customHeight="1" spans="1:27">
      <c r="A141" s="1" t="s">
        <v>110</v>
      </c>
      <c r="B141" s="1" t="s">
        <v>111</v>
      </c>
      <c r="C141" s="1" t="s">
        <v>206</v>
      </c>
      <c r="D141" s="1" t="s">
        <v>669</v>
      </c>
      <c r="E141" s="1" t="s">
        <v>670</v>
      </c>
      <c r="F141" s="1" t="s">
        <v>71</v>
      </c>
      <c r="G141" s="1">
        <v>0</v>
      </c>
      <c r="H141" s="1">
        <v>0</v>
      </c>
      <c r="I141" s="1">
        <v>0</v>
      </c>
      <c r="J141" s="1">
        <v>0</v>
      </c>
      <c r="K141" s="1">
        <v>0</v>
      </c>
      <c r="L141" s="1">
        <v>0</v>
      </c>
      <c r="M141" s="1">
        <v>11</v>
      </c>
      <c r="N141" s="1">
        <v>0</v>
      </c>
      <c r="O141" s="1">
        <v>0</v>
      </c>
      <c r="P141" s="1">
        <v>0</v>
      </c>
      <c r="Q141" s="1">
        <v>0</v>
      </c>
      <c r="R141" s="1">
        <v>0</v>
      </c>
      <c r="S141" s="1">
        <v>0</v>
      </c>
      <c r="T141" s="1">
        <v>0</v>
      </c>
      <c r="U141" s="1" t="s">
        <v>35</v>
      </c>
      <c r="V141" s="1" t="s">
        <v>35</v>
      </c>
      <c r="W141" s="1" t="s">
        <v>35</v>
      </c>
      <c r="X141" s="1" t="s">
        <v>35</v>
      </c>
      <c r="Y141" s="4" t="str">
        <f>IFERROR(VLOOKUP(F:F,#REF!,2,0),"需要手动检查")</f>
        <v>需要手动检查</v>
      </c>
      <c r="Z141" s="5" t="str">
        <f t="shared" si="2"/>
        <v>否</v>
      </c>
      <c r="AA141" s="6" t="s">
        <v>48</v>
      </c>
    </row>
    <row r="142" customHeight="1" spans="1:27">
      <c r="A142" s="1" t="s">
        <v>110</v>
      </c>
      <c r="B142" s="1" t="s">
        <v>111</v>
      </c>
      <c r="C142" s="1" t="s">
        <v>206</v>
      </c>
      <c r="D142" s="1" t="s">
        <v>671</v>
      </c>
      <c r="E142" s="1" t="s">
        <v>672</v>
      </c>
      <c r="F142" s="1" t="s">
        <v>71</v>
      </c>
      <c r="G142" s="1">
        <v>0</v>
      </c>
      <c r="H142" s="1">
        <v>0</v>
      </c>
      <c r="I142" s="1">
        <v>0</v>
      </c>
      <c r="J142" s="1">
        <v>0</v>
      </c>
      <c r="K142" s="1">
        <v>0</v>
      </c>
      <c r="L142" s="1">
        <v>0</v>
      </c>
      <c r="M142" s="1">
        <v>192</v>
      </c>
      <c r="N142" s="1">
        <v>5</v>
      </c>
      <c r="O142" s="1">
        <v>0</v>
      </c>
      <c r="P142" s="1">
        <v>0</v>
      </c>
      <c r="Q142" s="1">
        <v>0</v>
      </c>
      <c r="R142" s="1">
        <v>0</v>
      </c>
      <c r="S142" s="1">
        <v>0</v>
      </c>
      <c r="T142" s="1">
        <v>0</v>
      </c>
      <c r="U142" s="1" t="s">
        <v>35</v>
      </c>
      <c r="V142" s="1" t="s">
        <v>35</v>
      </c>
      <c r="W142" s="1" t="s">
        <v>35</v>
      </c>
      <c r="X142" s="1" t="s">
        <v>35</v>
      </c>
      <c r="Y142" s="4" t="str">
        <f>IFERROR(VLOOKUP(F:F,#REF!,2,0),"需要手动检查")</f>
        <v>需要手动检查</v>
      </c>
      <c r="Z142" s="5" t="str">
        <f t="shared" si="2"/>
        <v>否</v>
      </c>
      <c r="AA142" s="6" t="s">
        <v>38</v>
      </c>
    </row>
    <row r="143" customHeight="1" spans="1:27">
      <c r="A143" s="1" t="s">
        <v>110</v>
      </c>
      <c r="B143" s="1" t="s">
        <v>111</v>
      </c>
      <c r="C143" s="1" t="s">
        <v>206</v>
      </c>
      <c r="D143" s="1" t="s">
        <v>673</v>
      </c>
      <c r="E143" s="1" t="s">
        <v>670</v>
      </c>
      <c r="F143" s="1" t="s">
        <v>71</v>
      </c>
      <c r="G143" s="1">
        <v>0</v>
      </c>
      <c r="H143" s="1">
        <v>0</v>
      </c>
      <c r="I143" s="1">
        <v>0</v>
      </c>
      <c r="J143" s="1">
        <v>0</v>
      </c>
      <c r="K143" s="1">
        <v>0</v>
      </c>
      <c r="L143" s="1">
        <v>0</v>
      </c>
      <c r="M143" s="1">
        <v>94</v>
      </c>
      <c r="N143" s="1">
        <v>2</v>
      </c>
      <c r="O143" s="1">
        <v>0</v>
      </c>
      <c r="P143" s="1">
        <v>0</v>
      </c>
      <c r="Q143" s="1">
        <v>0</v>
      </c>
      <c r="R143" s="1">
        <v>0</v>
      </c>
      <c r="S143" s="1">
        <v>0</v>
      </c>
      <c r="T143" s="1">
        <v>0</v>
      </c>
      <c r="U143" s="1" t="s">
        <v>35</v>
      </c>
      <c r="V143" s="1" t="s">
        <v>35</v>
      </c>
      <c r="W143" s="1" t="s">
        <v>35</v>
      </c>
      <c r="X143" s="1" t="s">
        <v>35</v>
      </c>
      <c r="Y143" s="4" t="str">
        <f>IFERROR(VLOOKUP(F:F,#REF!,2,0),"需要手动检查")</f>
        <v>需要手动检查</v>
      </c>
      <c r="Z143" s="5" t="str">
        <f t="shared" si="2"/>
        <v>否</v>
      </c>
      <c r="AA143" s="6" t="s">
        <v>48</v>
      </c>
    </row>
    <row r="144" customHeight="1" spans="1:27">
      <c r="A144" s="1" t="s">
        <v>110</v>
      </c>
      <c r="B144" s="1" t="s">
        <v>111</v>
      </c>
      <c r="C144" s="1" t="s">
        <v>206</v>
      </c>
      <c r="D144" s="1" t="s">
        <v>674</v>
      </c>
      <c r="E144" s="1" t="s">
        <v>670</v>
      </c>
      <c r="F144" s="1" t="s">
        <v>71</v>
      </c>
      <c r="G144" s="1">
        <v>0</v>
      </c>
      <c r="H144" s="1">
        <v>0</v>
      </c>
      <c r="I144" s="1">
        <v>0</v>
      </c>
      <c r="J144" s="1">
        <v>0</v>
      </c>
      <c r="K144" s="1">
        <v>0</v>
      </c>
      <c r="L144" s="1">
        <v>0</v>
      </c>
      <c r="M144" s="1">
        <v>167</v>
      </c>
      <c r="N144" s="1">
        <v>2</v>
      </c>
      <c r="O144" s="1">
        <v>0</v>
      </c>
      <c r="P144" s="1">
        <v>0</v>
      </c>
      <c r="Q144" s="1">
        <v>0</v>
      </c>
      <c r="R144" s="1">
        <v>0</v>
      </c>
      <c r="S144" s="1">
        <v>0</v>
      </c>
      <c r="T144" s="1">
        <v>0</v>
      </c>
      <c r="U144" s="1" t="s">
        <v>35</v>
      </c>
      <c r="V144" s="1" t="s">
        <v>35</v>
      </c>
      <c r="W144" s="1" t="s">
        <v>35</v>
      </c>
      <c r="X144" s="1" t="s">
        <v>35</v>
      </c>
      <c r="Y144" s="4" t="str">
        <f>IFERROR(VLOOKUP(F:F,#REF!,2,0),"需要手动检查")</f>
        <v>需要手动检查</v>
      </c>
      <c r="Z144" s="5" t="str">
        <f t="shared" si="2"/>
        <v>否</v>
      </c>
      <c r="AA144" s="6" t="s">
        <v>38</v>
      </c>
    </row>
    <row r="145" customHeight="1" spans="1:27">
      <c r="A145" s="1" t="s">
        <v>110</v>
      </c>
      <c r="B145" s="1" t="s">
        <v>111</v>
      </c>
      <c r="C145" s="1" t="s">
        <v>675</v>
      </c>
      <c r="D145" s="1" t="s">
        <v>676</v>
      </c>
      <c r="E145" s="1" t="s">
        <v>677</v>
      </c>
      <c r="F145" s="1" t="s">
        <v>71</v>
      </c>
      <c r="G145" s="1">
        <v>0</v>
      </c>
      <c r="H145" s="1">
        <v>0</v>
      </c>
      <c r="I145" s="1">
        <v>0</v>
      </c>
      <c r="J145" s="1">
        <v>0</v>
      </c>
      <c r="K145" s="1">
        <v>0</v>
      </c>
      <c r="L145" s="1">
        <v>0</v>
      </c>
      <c r="M145" s="1">
        <v>15</v>
      </c>
      <c r="N145" s="1">
        <v>0</v>
      </c>
      <c r="O145" s="1">
        <v>0</v>
      </c>
      <c r="P145" s="1">
        <v>0</v>
      </c>
      <c r="Q145" s="1">
        <v>0</v>
      </c>
      <c r="R145" s="1">
        <v>0</v>
      </c>
      <c r="S145" s="1">
        <v>0</v>
      </c>
      <c r="T145" s="1">
        <v>0</v>
      </c>
      <c r="U145" s="1" t="s">
        <v>35</v>
      </c>
      <c r="V145" s="1" t="s">
        <v>35</v>
      </c>
      <c r="W145" s="1" t="s">
        <v>35</v>
      </c>
      <c r="X145" s="1" t="s">
        <v>35</v>
      </c>
      <c r="Y145" s="4" t="str">
        <f>IFERROR(VLOOKUP(F:F,#REF!,2,0),"需要手动检查")</f>
        <v>需要手动检查</v>
      </c>
      <c r="Z145" s="5" t="str">
        <f t="shared" si="2"/>
        <v>否</v>
      </c>
      <c r="AA145" s="6" t="s">
        <v>48</v>
      </c>
    </row>
    <row r="146" customHeight="1" spans="1:27">
      <c r="A146" s="1" t="s">
        <v>110</v>
      </c>
      <c r="B146" s="1" t="s">
        <v>111</v>
      </c>
      <c r="C146" s="1" t="s">
        <v>675</v>
      </c>
      <c r="D146" s="1" t="s">
        <v>678</v>
      </c>
      <c r="E146" s="1" t="s">
        <v>677</v>
      </c>
      <c r="F146" s="1" t="s">
        <v>71</v>
      </c>
      <c r="G146" s="1">
        <v>0</v>
      </c>
      <c r="H146" s="1">
        <v>0</v>
      </c>
      <c r="I146" s="1">
        <v>0</v>
      </c>
      <c r="J146" s="1">
        <v>0</v>
      </c>
      <c r="K146" s="1">
        <v>0</v>
      </c>
      <c r="L146" s="1">
        <v>0</v>
      </c>
      <c r="M146" s="1">
        <v>16</v>
      </c>
      <c r="N146" s="1">
        <v>0</v>
      </c>
      <c r="O146" s="1">
        <v>0</v>
      </c>
      <c r="P146" s="1">
        <v>0</v>
      </c>
      <c r="Q146" s="1">
        <v>0</v>
      </c>
      <c r="R146" s="1">
        <v>0</v>
      </c>
      <c r="S146" s="1">
        <v>0</v>
      </c>
      <c r="T146" s="1">
        <v>0</v>
      </c>
      <c r="U146" s="1" t="s">
        <v>35</v>
      </c>
      <c r="V146" s="1" t="s">
        <v>35</v>
      </c>
      <c r="W146" s="1" t="s">
        <v>35</v>
      </c>
      <c r="X146" s="1" t="s">
        <v>35</v>
      </c>
      <c r="Y146" s="4" t="str">
        <f>IFERROR(VLOOKUP(F:F,#REF!,2,0),"需要手动检查")</f>
        <v>需要手动检查</v>
      </c>
      <c r="Z146" s="5" t="str">
        <f t="shared" si="2"/>
        <v>否</v>
      </c>
      <c r="AA146" s="6" t="s">
        <v>38</v>
      </c>
    </row>
    <row r="147" customHeight="1" spans="1:27">
      <c r="A147" s="1" t="s">
        <v>110</v>
      </c>
      <c r="B147" s="1" t="s">
        <v>111</v>
      </c>
      <c r="C147" s="1" t="s">
        <v>675</v>
      </c>
      <c r="D147" s="1" t="s">
        <v>679</v>
      </c>
      <c r="E147" s="1" t="s">
        <v>677</v>
      </c>
      <c r="F147" s="1" t="s">
        <v>71</v>
      </c>
      <c r="G147" s="1">
        <v>0</v>
      </c>
      <c r="H147" s="1">
        <v>0</v>
      </c>
      <c r="I147" s="1">
        <v>0</v>
      </c>
      <c r="J147" s="1">
        <v>0</v>
      </c>
      <c r="K147" s="1">
        <v>0</v>
      </c>
      <c r="L147" s="1">
        <v>0</v>
      </c>
      <c r="M147" s="1">
        <v>35</v>
      </c>
      <c r="N147" s="1">
        <v>0</v>
      </c>
      <c r="O147" s="1">
        <v>0</v>
      </c>
      <c r="P147" s="1">
        <v>0</v>
      </c>
      <c r="Q147" s="1">
        <v>0</v>
      </c>
      <c r="R147" s="1">
        <v>0</v>
      </c>
      <c r="S147" s="1">
        <v>0</v>
      </c>
      <c r="T147" s="1">
        <v>0</v>
      </c>
      <c r="U147" s="1" t="s">
        <v>35</v>
      </c>
      <c r="V147" s="1" t="s">
        <v>35</v>
      </c>
      <c r="W147" s="1" t="s">
        <v>35</v>
      </c>
      <c r="X147" s="1" t="s">
        <v>35</v>
      </c>
      <c r="Y147" s="4" t="str">
        <f>IFERROR(VLOOKUP(F:F,#REF!,2,0),"需要手动检查")</f>
        <v>需要手动检查</v>
      </c>
      <c r="Z147" s="5" t="str">
        <f t="shared" si="2"/>
        <v>否</v>
      </c>
      <c r="AA147" s="6" t="s">
        <v>48</v>
      </c>
    </row>
    <row r="148" customHeight="1" spans="1:27">
      <c r="A148" s="1" t="s">
        <v>110</v>
      </c>
      <c r="B148" s="1" t="s">
        <v>111</v>
      </c>
      <c r="C148" s="1" t="s">
        <v>675</v>
      </c>
      <c r="D148" s="1" t="s">
        <v>680</v>
      </c>
      <c r="E148" s="1" t="s">
        <v>677</v>
      </c>
      <c r="F148" s="1" t="s">
        <v>71</v>
      </c>
      <c r="G148" s="1">
        <v>0</v>
      </c>
      <c r="H148" s="1">
        <v>0</v>
      </c>
      <c r="I148" s="1">
        <v>0</v>
      </c>
      <c r="J148" s="1">
        <v>0</v>
      </c>
      <c r="K148" s="1">
        <v>0</v>
      </c>
      <c r="L148" s="1">
        <v>0</v>
      </c>
      <c r="M148" s="1">
        <v>9</v>
      </c>
      <c r="N148" s="1">
        <v>0</v>
      </c>
      <c r="O148" s="1">
        <v>0</v>
      </c>
      <c r="P148" s="1">
        <v>0</v>
      </c>
      <c r="Q148" s="1">
        <v>0</v>
      </c>
      <c r="R148" s="1">
        <v>0</v>
      </c>
      <c r="S148" s="1">
        <v>0</v>
      </c>
      <c r="T148" s="1">
        <v>0</v>
      </c>
      <c r="U148" s="1" t="s">
        <v>35</v>
      </c>
      <c r="V148" s="1" t="s">
        <v>35</v>
      </c>
      <c r="W148" s="1" t="s">
        <v>35</v>
      </c>
      <c r="X148" s="1" t="s">
        <v>35</v>
      </c>
      <c r="Y148" s="4" t="str">
        <f>IFERROR(VLOOKUP(F:F,#REF!,2,0),"需要手动检查")</f>
        <v>需要手动检查</v>
      </c>
      <c r="Z148" s="5" t="str">
        <f t="shared" si="2"/>
        <v>否</v>
      </c>
      <c r="AA148" s="6" t="s">
        <v>38</v>
      </c>
    </row>
    <row r="149" customHeight="1" spans="1:27">
      <c r="A149" s="1" t="s">
        <v>110</v>
      </c>
      <c r="B149" s="1" t="s">
        <v>111</v>
      </c>
      <c r="C149" s="1" t="s">
        <v>675</v>
      </c>
      <c r="D149" s="1" t="s">
        <v>681</v>
      </c>
      <c r="E149" s="1" t="s">
        <v>682</v>
      </c>
      <c r="F149" s="1" t="s">
        <v>71</v>
      </c>
      <c r="G149" s="1">
        <v>0</v>
      </c>
      <c r="H149" s="1">
        <v>0</v>
      </c>
      <c r="I149" s="1">
        <v>0</v>
      </c>
      <c r="J149" s="1">
        <v>0</v>
      </c>
      <c r="K149" s="1">
        <v>0</v>
      </c>
      <c r="L149" s="1">
        <v>0</v>
      </c>
      <c r="M149" s="1">
        <v>16</v>
      </c>
      <c r="N149" s="1">
        <v>0</v>
      </c>
      <c r="O149" s="1">
        <v>0</v>
      </c>
      <c r="P149" s="1">
        <v>0</v>
      </c>
      <c r="Q149" s="1">
        <v>0</v>
      </c>
      <c r="R149" s="1">
        <v>0</v>
      </c>
      <c r="S149" s="1">
        <v>0</v>
      </c>
      <c r="T149" s="1">
        <v>0</v>
      </c>
      <c r="U149" s="1" t="s">
        <v>35</v>
      </c>
      <c r="V149" s="1" t="s">
        <v>35</v>
      </c>
      <c r="W149" s="1" t="s">
        <v>35</v>
      </c>
      <c r="X149" s="1" t="s">
        <v>35</v>
      </c>
      <c r="Y149" s="4" t="str">
        <f>IFERROR(VLOOKUP(F:F,#REF!,2,0),"需要手动检查")</f>
        <v>需要手动检查</v>
      </c>
      <c r="Z149" s="5" t="str">
        <f t="shared" si="2"/>
        <v>否</v>
      </c>
      <c r="AA149" s="6" t="s">
        <v>48</v>
      </c>
    </row>
    <row r="150" customHeight="1" spans="1:27">
      <c r="A150" s="1" t="s">
        <v>110</v>
      </c>
      <c r="B150" s="1" t="s">
        <v>111</v>
      </c>
      <c r="C150" s="1" t="s">
        <v>675</v>
      </c>
      <c r="D150" s="1" t="s">
        <v>683</v>
      </c>
      <c r="E150" s="1" t="s">
        <v>677</v>
      </c>
      <c r="F150" s="1" t="s">
        <v>71</v>
      </c>
      <c r="G150" s="1">
        <v>0</v>
      </c>
      <c r="H150" s="1">
        <v>0</v>
      </c>
      <c r="I150" s="1">
        <v>0</v>
      </c>
      <c r="J150" s="1">
        <v>0</v>
      </c>
      <c r="K150" s="1">
        <v>0</v>
      </c>
      <c r="L150" s="1">
        <v>0</v>
      </c>
      <c r="M150" s="1">
        <v>113</v>
      </c>
      <c r="N150" s="1">
        <v>0</v>
      </c>
      <c r="O150" s="1">
        <v>0</v>
      </c>
      <c r="P150" s="1">
        <v>0</v>
      </c>
      <c r="Q150" s="1">
        <v>0</v>
      </c>
      <c r="R150" s="1">
        <v>0</v>
      </c>
      <c r="S150" s="1">
        <v>0</v>
      </c>
      <c r="T150" s="1">
        <v>0</v>
      </c>
      <c r="U150" s="1" t="s">
        <v>35</v>
      </c>
      <c r="V150" s="1" t="s">
        <v>35</v>
      </c>
      <c r="W150" s="1" t="s">
        <v>35</v>
      </c>
      <c r="X150" s="1" t="s">
        <v>35</v>
      </c>
      <c r="Y150" s="4" t="str">
        <f>IFERROR(VLOOKUP(F:F,#REF!,2,0),"需要手动检查")</f>
        <v>需要手动检查</v>
      </c>
      <c r="Z150" s="5" t="str">
        <f t="shared" si="2"/>
        <v>否</v>
      </c>
      <c r="AA150" s="6" t="s">
        <v>38</v>
      </c>
    </row>
    <row r="151" customHeight="1" spans="1:27">
      <c r="A151" s="1" t="s">
        <v>110</v>
      </c>
      <c r="B151" s="1" t="s">
        <v>111</v>
      </c>
      <c r="C151" s="1" t="s">
        <v>684</v>
      </c>
      <c r="D151" s="1" t="s">
        <v>685</v>
      </c>
      <c r="E151" s="1" t="s">
        <v>686</v>
      </c>
      <c r="F151" s="1" t="s">
        <v>71</v>
      </c>
      <c r="G151" s="1">
        <v>0</v>
      </c>
      <c r="H151" s="1">
        <v>0</v>
      </c>
      <c r="I151" s="1">
        <v>0</v>
      </c>
      <c r="J151" s="1">
        <v>0</v>
      </c>
      <c r="K151" s="1">
        <v>0</v>
      </c>
      <c r="L151" s="1">
        <v>0</v>
      </c>
      <c r="M151" s="1">
        <v>32</v>
      </c>
      <c r="N151" s="1">
        <v>0</v>
      </c>
      <c r="O151" s="1">
        <v>0</v>
      </c>
      <c r="P151" s="1">
        <v>0</v>
      </c>
      <c r="Q151" s="1">
        <v>0</v>
      </c>
      <c r="R151" s="1">
        <v>0</v>
      </c>
      <c r="S151" s="1">
        <v>0</v>
      </c>
      <c r="T151" s="1">
        <v>0</v>
      </c>
      <c r="U151" s="1" t="s">
        <v>35</v>
      </c>
      <c r="V151" s="1" t="s">
        <v>35</v>
      </c>
      <c r="W151" s="1" t="s">
        <v>35</v>
      </c>
      <c r="X151" s="1" t="s">
        <v>35</v>
      </c>
      <c r="Y151" s="4" t="str">
        <f>IFERROR(VLOOKUP(F:F,#REF!,2,0),"需要手动检查")</f>
        <v>需要手动检查</v>
      </c>
      <c r="Z151" s="5" t="str">
        <f t="shared" si="2"/>
        <v>否</v>
      </c>
      <c r="AA151" s="6" t="s">
        <v>48</v>
      </c>
    </row>
    <row r="152" customHeight="1" spans="1:27">
      <c r="A152" s="1" t="s">
        <v>110</v>
      </c>
      <c r="B152" s="1" t="s">
        <v>111</v>
      </c>
      <c r="C152" s="1" t="s">
        <v>684</v>
      </c>
      <c r="D152" s="1" t="s">
        <v>687</v>
      </c>
      <c r="E152" s="1" t="s">
        <v>686</v>
      </c>
      <c r="F152" s="1" t="s">
        <v>71</v>
      </c>
      <c r="G152" s="1">
        <v>0</v>
      </c>
      <c r="H152" s="1">
        <v>0</v>
      </c>
      <c r="I152" s="1">
        <v>0</v>
      </c>
      <c r="J152" s="1">
        <v>0</v>
      </c>
      <c r="K152" s="1">
        <v>0</v>
      </c>
      <c r="L152" s="1">
        <v>0</v>
      </c>
      <c r="M152" s="1">
        <v>55</v>
      </c>
      <c r="N152" s="1">
        <v>1</v>
      </c>
      <c r="O152" s="1">
        <v>0</v>
      </c>
      <c r="P152" s="1">
        <v>0</v>
      </c>
      <c r="Q152" s="1">
        <v>0</v>
      </c>
      <c r="R152" s="1">
        <v>0</v>
      </c>
      <c r="S152" s="1">
        <v>0</v>
      </c>
      <c r="T152" s="1">
        <v>0</v>
      </c>
      <c r="U152" s="1" t="s">
        <v>35</v>
      </c>
      <c r="V152" s="1" t="s">
        <v>35</v>
      </c>
      <c r="W152" s="1" t="s">
        <v>35</v>
      </c>
      <c r="X152" s="1" t="s">
        <v>35</v>
      </c>
      <c r="Y152" s="4" t="str">
        <f>IFERROR(VLOOKUP(F:F,#REF!,2,0),"需要手动检查")</f>
        <v>需要手动检查</v>
      </c>
      <c r="Z152" s="5" t="str">
        <f t="shared" si="2"/>
        <v>否</v>
      </c>
      <c r="AA152" s="6" t="s">
        <v>38</v>
      </c>
    </row>
    <row r="153" customHeight="1" spans="1:27">
      <c r="A153" s="1" t="s">
        <v>110</v>
      </c>
      <c r="B153" s="1" t="s">
        <v>111</v>
      </c>
      <c r="C153" s="1" t="s">
        <v>684</v>
      </c>
      <c r="D153" s="1" t="s">
        <v>688</v>
      </c>
      <c r="E153" s="1" t="s">
        <v>686</v>
      </c>
      <c r="F153" s="1" t="s">
        <v>71</v>
      </c>
      <c r="G153" s="1">
        <v>0</v>
      </c>
      <c r="H153" s="1">
        <v>0</v>
      </c>
      <c r="I153" s="1">
        <v>0</v>
      </c>
      <c r="J153" s="1">
        <v>0</v>
      </c>
      <c r="K153" s="1">
        <v>0</v>
      </c>
      <c r="L153" s="1">
        <v>0</v>
      </c>
      <c r="M153" s="1">
        <v>62</v>
      </c>
      <c r="N153" s="1">
        <v>0</v>
      </c>
      <c r="O153" s="1">
        <v>0</v>
      </c>
      <c r="P153" s="1">
        <v>0</v>
      </c>
      <c r="Q153" s="1">
        <v>0</v>
      </c>
      <c r="R153" s="1">
        <v>0</v>
      </c>
      <c r="S153" s="1">
        <v>0</v>
      </c>
      <c r="T153" s="1">
        <v>0</v>
      </c>
      <c r="U153" s="1" t="s">
        <v>35</v>
      </c>
      <c r="V153" s="1" t="s">
        <v>35</v>
      </c>
      <c r="W153" s="1" t="s">
        <v>35</v>
      </c>
      <c r="X153" s="1" t="s">
        <v>35</v>
      </c>
      <c r="Y153" s="4" t="str">
        <f>IFERROR(VLOOKUP(F:F,#REF!,2,0),"需要手动检查")</f>
        <v>需要手动检查</v>
      </c>
      <c r="Z153" s="5" t="str">
        <f t="shared" si="2"/>
        <v>否</v>
      </c>
      <c r="AA153" s="6" t="s">
        <v>48</v>
      </c>
    </row>
    <row r="154" customHeight="1" spans="1:27">
      <c r="A154" s="1" t="s">
        <v>110</v>
      </c>
      <c r="B154" s="1" t="s">
        <v>111</v>
      </c>
      <c r="C154" s="1" t="s">
        <v>684</v>
      </c>
      <c r="D154" s="1" t="s">
        <v>689</v>
      </c>
      <c r="E154" s="1" t="s">
        <v>686</v>
      </c>
      <c r="F154" s="1" t="s">
        <v>71</v>
      </c>
      <c r="G154" s="1">
        <v>0</v>
      </c>
      <c r="H154" s="1">
        <v>0</v>
      </c>
      <c r="I154" s="1">
        <v>0</v>
      </c>
      <c r="J154" s="1">
        <v>0</v>
      </c>
      <c r="K154" s="1">
        <v>0</v>
      </c>
      <c r="L154" s="1">
        <v>0</v>
      </c>
      <c r="M154" s="1">
        <v>65</v>
      </c>
      <c r="N154" s="1">
        <v>0</v>
      </c>
      <c r="O154" s="1">
        <v>0</v>
      </c>
      <c r="P154" s="1">
        <v>0</v>
      </c>
      <c r="Q154" s="1">
        <v>0</v>
      </c>
      <c r="R154" s="1">
        <v>0</v>
      </c>
      <c r="S154" s="1">
        <v>0</v>
      </c>
      <c r="T154" s="1">
        <v>0</v>
      </c>
      <c r="U154" s="1" t="s">
        <v>35</v>
      </c>
      <c r="V154" s="1" t="s">
        <v>35</v>
      </c>
      <c r="W154" s="1" t="s">
        <v>35</v>
      </c>
      <c r="X154" s="1" t="s">
        <v>35</v>
      </c>
      <c r="Y154" s="4" t="str">
        <f>IFERROR(VLOOKUP(F:F,#REF!,2,0),"需要手动检查")</f>
        <v>需要手动检查</v>
      </c>
      <c r="Z154" s="5" t="str">
        <f t="shared" si="2"/>
        <v>否</v>
      </c>
      <c r="AA154" s="6" t="s">
        <v>38</v>
      </c>
    </row>
    <row r="155" customHeight="1" spans="1:27">
      <c r="A155" s="1" t="s">
        <v>110</v>
      </c>
      <c r="B155" s="1" t="s">
        <v>111</v>
      </c>
      <c r="C155" s="1" t="s">
        <v>684</v>
      </c>
      <c r="D155" s="1" t="s">
        <v>690</v>
      </c>
      <c r="E155" s="1" t="s">
        <v>686</v>
      </c>
      <c r="F155" s="1" t="s">
        <v>71</v>
      </c>
      <c r="G155" s="1">
        <v>0</v>
      </c>
      <c r="H155" s="1">
        <v>0</v>
      </c>
      <c r="I155" s="1">
        <v>0</v>
      </c>
      <c r="J155" s="1">
        <v>0</v>
      </c>
      <c r="K155" s="1">
        <v>0</v>
      </c>
      <c r="L155" s="1">
        <v>0</v>
      </c>
      <c r="M155" s="1">
        <v>7</v>
      </c>
      <c r="N155" s="1">
        <v>0</v>
      </c>
      <c r="O155" s="1">
        <v>0</v>
      </c>
      <c r="P155" s="1">
        <v>0</v>
      </c>
      <c r="Q155" s="1">
        <v>0</v>
      </c>
      <c r="R155" s="1">
        <v>0</v>
      </c>
      <c r="S155" s="1">
        <v>0</v>
      </c>
      <c r="T155" s="1">
        <v>0</v>
      </c>
      <c r="U155" s="1" t="s">
        <v>35</v>
      </c>
      <c r="V155" s="1" t="s">
        <v>35</v>
      </c>
      <c r="W155" s="1" t="s">
        <v>35</v>
      </c>
      <c r="X155" s="1" t="s">
        <v>35</v>
      </c>
      <c r="Y155" s="4" t="str">
        <f>IFERROR(VLOOKUP(F:F,#REF!,2,0),"需要手动检查")</f>
        <v>需要手动检查</v>
      </c>
      <c r="Z155" s="5" t="str">
        <f t="shared" si="2"/>
        <v>否</v>
      </c>
      <c r="AA155" s="6" t="s">
        <v>48</v>
      </c>
    </row>
    <row r="156" customHeight="1" spans="1:27">
      <c r="A156" s="1" t="s">
        <v>691</v>
      </c>
      <c r="B156" s="1" t="s">
        <v>692</v>
      </c>
      <c r="C156" s="1" t="s">
        <v>693</v>
      </c>
      <c r="D156" s="1" t="s">
        <v>694</v>
      </c>
      <c r="E156" s="1" t="s">
        <v>695</v>
      </c>
      <c r="F156" s="1" t="s">
        <v>77</v>
      </c>
      <c r="G156" s="1">
        <v>26</v>
      </c>
      <c r="H156" s="1">
        <v>0</v>
      </c>
      <c r="I156" s="1">
        <v>0</v>
      </c>
      <c r="J156" s="1">
        <v>0</v>
      </c>
      <c r="K156" s="1">
        <v>0</v>
      </c>
      <c r="L156" s="1">
        <v>0</v>
      </c>
      <c r="M156" s="1">
        <v>26</v>
      </c>
      <c r="N156" s="1">
        <v>1</v>
      </c>
      <c r="O156" s="1">
        <v>0</v>
      </c>
      <c r="P156" s="1">
        <v>0</v>
      </c>
      <c r="Q156" s="1">
        <v>0</v>
      </c>
      <c r="R156" s="1">
        <v>0</v>
      </c>
      <c r="S156" s="1">
        <v>0</v>
      </c>
      <c r="T156" s="1">
        <v>0</v>
      </c>
      <c r="U156" s="1" t="s">
        <v>80</v>
      </c>
      <c r="V156" s="1" t="s">
        <v>35</v>
      </c>
      <c r="W156" s="1" t="s">
        <v>35</v>
      </c>
      <c r="X156" s="1" t="s">
        <v>35</v>
      </c>
      <c r="Y156" s="4" t="str">
        <f>IFERROR(VLOOKUP(F:F,#REF!,2,0),"需要手动检查")</f>
        <v>需要手动检查</v>
      </c>
      <c r="Z156" s="5" t="str">
        <f t="shared" si="2"/>
        <v>否</v>
      </c>
      <c r="AA156" s="6" t="s">
        <v>38</v>
      </c>
    </row>
    <row r="157" customHeight="1" spans="1:27">
      <c r="A157" s="1" t="s">
        <v>696</v>
      </c>
      <c r="B157" s="1" t="s">
        <v>697</v>
      </c>
      <c r="C157" s="1" t="s">
        <v>698</v>
      </c>
      <c r="D157" s="1" t="s">
        <v>699</v>
      </c>
      <c r="E157" s="1" t="s">
        <v>700</v>
      </c>
      <c r="F157" s="1" t="s">
        <v>77</v>
      </c>
      <c r="G157" s="1">
        <v>24</v>
      </c>
      <c r="H157" s="1">
        <v>0</v>
      </c>
      <c r="I157" s="1">
        <v>0</v>
      </c>
      <c r="J157" s="1">
        <v>0</v>
      </c>
      <c r="K157" s="1">
        <v>0</v>
      </c>
      <c r="L157" s="1">
        <v>0</v>
      </c>
      <c r="M157" s="1">
        <v>37</v>
      </c>
      <c r="N157" s="1">
        <v>2</v>
      </c>
      <c r="O157" s="1">
        <v>0</v>
      </c>
      <c r="P157" s="1">
        <v>0</v>
      </c>
      <c r="Q157" s="1">
        <v>0</v>
      </c>
      <c r="R157" s="1">
        <v>0</v>
      </c>
      <c r="S157" s="1">
        <v>0</v>
      </c>
      <c r="T157" s="1">
        <v>0</v>
      </c>
      <c r="U157" s="1" t="s">
        <v>592</v>
      </c>
      <c r="V157" s="1" t="s">
        <v>35</v>
      </c>
      <c r="W157" s="1" t="s">
        <v>35</v>
      </c>
      <c r="X157" s="1" t="s">
        <v>35</v>
      </c>
      <c r="Y157" s="4" t="str">
        <f>IFERROR(VLOOKUP(F:F,#REF!,2,0),"需要手动检查")</f>
        <v>需要手动检查</v>
      </c>
      <c r="Z157" s="5" t="str">
        <f t="shared" si="2"/>
        <v>否</v>
      </c>
      <c r="AA157" s="6" t="s">
        <v>48</v>
      </c>
    </row>
    <row r="158" customHeight="1" spans="1:27">
      <c r="A158" s="1" t="s">
        <v>701</v>
      </c>
      <c r="B158" s="1" t="s">
        <v>702</v>
      </c>
      <c r="C158" s="1" t="s">
        <v>703</v>
      </c>
      <c r="D158" s="1" t="s">
        <v>704</v>
      </c>
      <c r="E158" s="1" t="s">
        <v>705</v>
      </c>
      <c r="F158" s="1" t="s">
        <v>77</v>
      </c>
      <c r="G158" s="1">
        <v>31</v>
      </c>
      <c r="H158" s="1">
        <v>0</v>
      </c>
      <c r="I158" s="1">
        <v>0</v>
      </c>
      <c r="J158" s="1">
        <v>0</v>
      </c>
      <c r="K158" s="1">
        <v>0</v>
      </c>
      <c r="L158" s="1">
        <v>0</v>
      </c>
      <c r="M158" s="1">
        <v>54</v>
      </c>
      <c r="N158" s="1">
        <v>1</v>
      </c>
      <c r="O158" s="1">
        <v>0</v>
      </c>
      <c r="P158" s="1">
        <v>0</v>
      </c>
      <c r="Q158" s="1">
        <v>0</v>
      </c>
      <c r="R158" s="1">
        <v>0</v>
      </c>
      <c r="S158" s="1">
        <v>0</v>
      </c>
      <c r="T158" s="1">
        <v>0</v>
      </c>
      <c r="U158" s="1" t="s">
        <v>706</v>
      </c>
      <c r="V158" s="1" t="s">
        <v>35</v>
      </c>
      <c r="W158" s="1" t="s">
        <v>35</v>
      </c>
      <c r="X158" s="1" t="s">
        <v>35</v>
      </c>
      <c r="Y158" s="4" t="str">
        <f>IFERROR(VLOOKUP(F:F,#REF!,2,0),"需要手动检查")</f>
        <v>需要手动检查</v>
      </c>
      <c r="Z158" s="5" t="str">
        <f t="shared" si="2"/>
        <v>否</v>
      </c>
      <c r="AA158" s="6" t="s">
        <v>38</v>
      </c>
    </row>
    <row r="159" customHeight="1" spans="1:27">
      <c r="A159" s="1" t="s">
        <v>707</v>
      </c>
      <c r="B159" s="1" t="s">
        <v>708</v>
      </c>
      <c r="C159" s="1" t="s">
        <v>709</v>
      </c>
      <c r="D159" s="1" t="s">
        <v>710</v>
      </c>
      <c r="E159" s="1" t="s">
        <v>711</v>
      </c>
      <c r="F159" s="1" t="s">
        <v>77</v>
      </c>
      <c r="G159" s="1">
        <v>103</v>
      </c>
      <c r="H159" s="1">
        <v>1</v>
      </c>
      <c r="I159" s="1">
        <v>0</v>
      </c>
      <c r="J159" s="1">
        <v>0</v>
      </c>
      <c r="K159" s="1">
        <v>0</v>
      </c>
      <c r="L159" s="1">
        <v>0</v>
      </c>
      <c r="M159" s="1">
        <v>118</v>
      </c>
      <c r="N159" s="1">
        <v>7</v>
      </c>
      <c r="O159" s="1">
        <v>0</v>
      </c>
      <c r="P159" s="1">
        <v>0</v>
      </c>
      <c r="Q159" s="1">
        <v>0</v>
      </c>
      <c r="R159" s="1">
        <v>0</v>
      </c>
      <c r="S159" s="1">
        <v>0</v>
      </c>
      <c r="T159" s="1">
        <v>0</v>
      </c>
      <c r="U159" s="1" t="s">
        <v>712</v>
      </c>
      <c r="V159" s="1" t="s">
        <v>35</v>
      </c>
      <c r="W159" s="1" t="s">
        <v>713</v>
      </c>
      <c r="X159" s="1" t="s">
        <v>35</v>
      </c>
      <c r="Y159" s="4" t="str">
        <f>IFERROR(VLOOKUP(F:F,#REF!,2,0),"需要手动检查")</f>
        <v>需要手动检查</v>
      </c>
      <c r="Z159" s="5" t="str">
        <f t="shared" si="2"/>
        <v>否</v>
      </c>
      <c r="AA159" s="6" t="s">
        <v>48</v>
      </c>
    </row>
    <row r="160" customHeight="1" spans="1:27">
      <c r="A160" s="1" t="s">
        <v>199</v>
      </c>
      <c r="B160" s="1" t="s">
        <v>200</v>
      </c>
      <c r="C160" s="1" t="s">
        <v>714</v>
      </c>
      <c r="D160" s="1" t="s">
        <v>715</v>
      </c>
      <c r="E160" s="1" t="s">
        <v>716</v>
      </c>
      <c r="F160" s="1" t="s">
        <v>71</v>
      </c>
      <c r="G160" s="1">
        <v>0</v>
      </c>
      <c r="H160" s="1">
        <v>0</v>
      </c>
      <c r="I160" s="1">
        <v>0</v>
      </c>
      <c r="J160" s="1">
        <v>0</v>
      </c>
      <c r="K160" s="1">
        <v>0</v>
      </c>
      <c r="L160" s="1">
        <v>0</v>
      </c>
      <c r="M160" s="1">
        <v>9</v>
      </c>
      <c r="N160" s="1">
        <v>0</v>
      </c>
      <c r="O160" s="1">
        <v>0</v>
      </c>
      <c r="P160" s="1">
        <v>0</v>
      </c>
      <c r="Q160" s="1">
        <v>0</v>
      </c>
      <c r="R160" s="1">
        <v>0</v>
      </c>
      <c r="S160" s="1">
        <v>0</v>
      </c>
      <c r="T160" s="1">
        <v>0</v>
      </c>
      <c r="U160" s="1" t="s">
        <v>35</v>
      </c>
      <c r="V160" s="1" t="s">
        <v>35</v>
      </c>
      <c r="W160" s="1" t="s">
        <v>35</v>
      </c>
      <c r="X160" s="1" t="s">
        <v>35</v>
      </c>
      <c r="Y160" s="4" t="str">
        <f>IFERROR(VLOOKUP(F:F,#REF!,2,0),"需要手动检查")</f>
        <v>需要手动检查</v>
      </c>
      <c r="Z160" s="5" t="str">
        <f t="shared" si="2"/>
        <v>否</v>
      </c>
      <c r="AA160" s="6" t="s">
        <v>38</v>
      </c>
    </row>
    <row r="161" customHeight="1" spans="1:27">
      <c r="A161" s="1" t="s">
        <v>199</v>
      </c>
      <c r="B161" s="1" t="s">
        <v>200</v>
      </c>
      <c r="C161" s="1" t="s">
        <v>714</v>
      </c>
      <c r="D161" s="1" t="s">
        <v>717</v>
      </c>
      <c r="E161" s="1" t="s">
        <v>718</v>
      </c>
      <c r="F161" s="1" t="s">
        <v>71</v>
      </c>
      <c r="G161" s="1">
        <v>0</v>
      </c>
      <c r="H161" s="1">
        <v>0</v>
      </c>
      <c r="I161" s="1">
        <v>0</v>
      </c>
      <c r="J161" s="1">
        <v>0</v>
      </c>
      <c r="K161" s="1">
        <v>0</v>
      </c>
      <c r="L161" s="1">
        <v>0</v>
      </c>
      <c r="M161" s="1">
        <v>104</v>
      </c>
      <c r="N161" s="1">
        <v>1</v>
      </c>
      <c r="O161" s="1">
        <v>0</v>
      </c>
      <c r="P161" s="1">
        <v>0</v>
      </c>
      <c r="Q161" s="1">
        <v>0</v>
      </c>
      <c r="R161" s="1">
        <v>0</v>
      </c>
      <c r="S161" s="1">
        <v>0</v>
      </c>
      <c r="T161" s="1">
        <v>0</v>
      </c>
      <c r="U161" s="1" t="s">
        <v>35</v>
      </c>
      <c r="V161" s="1" t="s">
        <v>35</v>
      </c>
      <c r="W161" s="1" t="s">
        <v>35</v>
      </c>
      <c r="X161" s="1" t="s">
        <v>35</v>
      </c>
      <c r="Y161" s="4" t="str">
        <f>IFERROR(VLOOKUP(F:F,#REF!,2,0),"需要手动检查")</f>
        <v>需要手动检查</v>
      </c>
      <c r="Z161" s="5" t="str">
        <f t="shared" si="2"/>
        <v>否</v>
      </c>
      <c r="AA161" s="6" t="s">
        <v>48</v>
      </c>
    </row>
    <row r="162" customHeight="1" spans="1:27">
      <c r="A162" s="1" t="s">
        <v>199</v>
      </c>
      <c r="B162" s="1" t="s">
        <v>200</v>
      </c>
      <c r="C162" s="1" t="s">
        <v>714</v>
      </c>
      <c r="D162" s="1" t="s">
        <v>719</v>
      </c>
      <c r="E162" s="1" t="s">
        <v>718</v>
      </c>
      <c r="F162" s="1" t="s">
        <v>71</v>
      </c>
      <c r="G162" s="1">
        <v>0</v>
      </c>
      <c r="H162" s="1">
        <v>0</v>
      </c>
      <c r="I162" s="1">
        <v>0</v>
      </c>
      <c r="J162" s="1">
        <v>0</v>
      </c>
      <c r="K162" s="1">
        <v>0</v>
      </c>
      <c r="L162" s="1">
        <v>0</v>
      </c>
      <c r="M162" s="1">
        <v>22</v>
      </c>
      <c r="N162" s="1">
        <v>0</v>
      </c>
      <c r="O162" s="1">
        <v>0</v>
      </c>
      <c r="P162" s="1">
        <v>0</v>
      </c>
      <c r="Q162" s="1">
        <v>0</v>
      </c>
      <c r="R162" s="1">
        <v>0</v>
      </c>
      <c r="S162" s="1">
        <v>0</v>
      </c>
      <c r="T162" s="1">
        <v>0</v>
      </c>
      <c r="U162" s="1" t="s">
        <v>35</v>
      </c>
      <c r="V162" s="1" t="s">
        <v>35</v>
      </c>
      <c r="W162" s="1" t="s">
        <v>35</v>
      </c>
      <c r="X162" s="1" t="s">
        <v>35</v>
      </c>
      <c r="Y162" s="4" t="str">
        <f>IFERROR(VLOOKUP(F:F,#REF!,2,0),"需要手动检查")</f>
        <v>需要手动检查</v>
      </c>
      <c r="Z162" s="5" t="str">
        <f t="shared" si="2"/>
        <v>否</v>
      </c>
      <c r="AA162" s="6" t="s">
        <v>38</v>
      </c>
    </row>
    <row r="163" customHeight="1" spans="1:27">
      <c r="A163" s="1" t="s">
        <v>199</v>
      </c>
      <c r="B163" s="1" t="s">
        <v>200</v>
      </c>
      <c r="C163" s="1" t="s">
        <v>714</v>
      </c>
      <c r="D163" s="1" t="s">
        <v>720</v>
      </c>
      <c r="E163" s="1" t="s">
        <v>718</v>
      </c>
      <c r="F163" s="1" t="s">
        <v>71</v>
      </c>
      <c r="G163" s="1">
        <v>0</v>
      </c>
      <c r="H163" s="1">
        <v>0</v>
      </c>
      <c r="I163" s="1">
        <v>0</v>
      </c>
      <c r="J163" s="1">
        <v>0</v>
      </c>
      <c r="K163" s="1">
        <v>0</v>
      </c>
      <c r="L163" s="1">
        <v>0</v>
      </c>
      <c r="M163" s="1">
        <v>1</v>
      </c>
      <c r="N163" s="1">
        <v>0</v>
      </c>
      <c r="O163" s="1">
        <v>0</v>
      </c>
      <c r="P163" s="1">
        <v>0</v>
      </c>
      <c r="Q163" s="1">
        <v>0</v>
      </c>
      <c r="R163" s="1">
        <v>0</v>
      </c>
      <c r="S163" s="1">
        <v>0</v>
      </c>
      <c r="T163" s="1">
        <v>0</v>
      </c>
      <c r="U163" s="1" t="s">
        <v>35</v>
      </c>
      <c r="V163" s="1" t="s">
        <v>35</v>
      </c>
      <c r="W163" s="1" t="s">
        <v>35</v>
      </c>
      <c r="X163" s="1" t="s">
        <v>35</v>
      </c>
      <c r="Y163" s="4" t="str">
        <f>IFERROR(VLOOKUP(F:F,#REF!,2,0),"需要手动检查")</f>
        <v>需要手动检查</v>
      </c>
      <c r="Z163" s="5" t="str">
        <f t="shared" si="2"/>
        <v>否</v>
      </c>
      <c r="AA163" s="6" t="s">
        <v>48</v>
      </c>
    </row>
    <row r="164" customHeight="1" spans="1:27">
      <c r="A164" s="1" t="s">
        <v>199</v>
      </c>
      <c r="B164" s="1" t="s">
        <v>200</v>
      </c>
      <c r="C164" s="1" t="s">
        <v>714</v>
      </c>
      <c r="D164" s="1" t="s">
        <v>721</v>
      </c>
      <c r="E164" s="1" t="s">
        <v>718</v>
      </c>
      <c r="F164" s="1" t="s">
        <v>71</v>
      </c>
      <c r="G164" s="1">
        <v>0</v>
      </c>
      <c r="H164" s="1">
        <v>0</v>
      </c>
      <c r="I164" s="1">
        <v>0</v>
      </c>
      <c r="J164" s="1">
        <v>0</v>
      </c>
      <c r="K164" s="1">
        <v>0</v>
      </c>
      <c r="L164" s="1">
        <v>0</v>
      </c>
      <c r="M164" s="1">
        <v>55</v>
      </c>
      <c r="N164" s="1">
        <v>0</v>
      </c>
      <c r="O164" s="1">
        <v>0</v>
      </c>
      <c r="P164" s="1">
        <v>0</v>
      </c>
      <c r="Q164" s="1">
        <v>0</v>
      </c>
      <c r="R164" s="1">
        <v>0</v>
      </c>
      <c r="S164" s="1">
        <v>0</v>
      </c>
      <c r="T164" s="1">
        <v>0</v>
      </c>
      <c r="U164" s="1" t="s">
        <v>35</v>
      </c>
      <c r="V164" s="1" t="s">
        <v>35</v>
      </c>
      <c r="W164" s="1" t="s">
        <v>35</v>
      </c>
      <c r="X164" s="1" t="s">
        <v>35</v>
      </c>
      <c r="Y164" s="4" t="str">
        <f>IFERROR(VLOOKUP(F:F,#REF!,2,0),"需要手动检查")</f>
        <v>需要手动检查</v>
      </c>
      <c r="Z164" s="5" t="str">
        <f t="shared" si="2"/>
        <v>否</v>
      </c>
      <c r="AA164" s="6" t="s">
        <v>38</v>
      </c>
    </row>
    <row r="165" customHeight="1" spans="1:27">
      <c r="A165" s="1" t="s">
        <v>110</v>
      </c>
      <c r="B165" s="1" t="s">
        <v>111</v>
      </c>
      <c r="C165" s="1" t="s">
        <v>714</v>
      </c>
      <c r="D165" s="1" t="s">
        <v>722</v>
      </c>
      <c r="E165" s="1" t="s">
        <v>718</v>
      </c>
      <c r="F165" s="1" t="s">
        <v>71</v>
      </c>
      <c r="G165" s="1">
        <v>0</v>
      </c>
      <c r="H165" s="1">
        <v>0</v>
      </c>
      <c r="I165" s="1">
        <v>0</v>
      </c>
      <c r="J165" s="1">
        <v>0</v>
      </c>
      <c r="K165" s="1">
        <v>0</v>
      </c>
      <c r="L165" s="1">
        <v>0</v>
      </c>
      <c r="M165" s="1">
        <v>1</v>
      </c>
      <c r="N165" s="1">
        <v>2</v>
      </c>
      <c r="O165" s="1">
        <v>0</v>
      </c>
      <c r="P165" s="1">
        <v>0</v>
      </c>
      <c r="Q165" s="1">
        <v>0</v>
      </c>
      <c r="R165" s="1">
        <v>0</v>
      </c>
      <c r="S165" s="1">
        <v>0</v>
      </c>
      <c r="T165" s="1">
        <v>0</v>
      </c>
      <c r="U165" s="1" t="s">
        <v>35</v>
      </c>
      <c r="V165" s="1" t="s">
        <v>35</v>
      </c>
      <c r="W165" s="1" t="s">
        <v>35</v>
      </c>
      <c r="X165" s="1" t="s">
        <v>35</v>
      </c>
      <c r="Y165" s="4" t="str">
        <f>IFERROR(VLOOKUP(F:F,#REF!,2,0),"需要手动检查")</f>
        <v>需要手动检查</v>
      </c>
      <c r="Z165" s="5" t="str">
        <f t="shared" si="2"/>
        <v>否</v>
      </c>
      <c r="AA165" s="6" t="s">
        <v>48</v>
      </c>
    </row>
    <row r="166" customHeight="1" spans="1:27">
      <c r="A166" s="1" t="s">
        <v>199</v>
      </c>
      <c r="B166" s="1" t="s">
        <v>200</v>
      </c>
      <c r="C166" s="1" t="s">
        <v>714</v>
      </c>
      <c r="D166" s="1" t="s">
        <v>723</v>
      </c>
      <c r="E166" s="1" t="s">
        <v>718</v>
      </c>
      <c r="F166" s="1" t="s">
        <v>71</v>
      </c>
      <c r="G166" s="1">
        <v>0</v>
      </c>
      <c r="H166" s="1">
        <v>0</v>
      </c>
      <c r="I166" s="1">
        <v>0</v>
      </c>
      <c r="J166" s="1">
        <v>0</v>
      </c>
      <c r="K166" s="1">
        <v>0</v>
      </c>
      <c r="L166" s="1">
        <v>0</v>
      </c>
      <c r="M166" s="1">
        <v>114</v>
      </c>
      <c r="N166" s="1">
        <v>1</v>
      </c>
      <c r="O166" s="1">
        <v>0</v>
      </c>
      <c r="P166" s="1">
        <v>0</v>
      </c>
      <c r="Q166" s="1">
        <v>0</v>
      </c>
      <c r="R166" s="1">
        <v>0</v>
      </c>
      <c r="S166" s="1">
        <v>0</v>
      </c>
      <c r="T166" s="1">
        <v>0</v>
      </c>
      <c r="U166" s="1" t="s">
        <v>35</v>
      </c>
      <c r="V166" s="1" t="s">
        <v>35</v>
      </c>
      <c r="W166" s="1" t="s">
        <v>35</v>
      </c>
      <c r="X166" s="1" t="s">
        <v>35</v>
      </c>
      <c r="Y166" s="4" t="str">
        <f>IFERROR(VLOOKUP(F:F,#REF!,2,0),"需要手动检查")</f>
        <v>需要手动检查</v>
      </c>
      <c r="Z166" s="5" t="str">
        <f t="shared" si="2"/>
        <v>否</v>
      </c>
      <c r="AA166" s="6" t="s">
        <v>38</v>
      </c>
    </row>
    <row r="167" customHeight="1" spans="1:27">
      <c r="A167" s="1" t="s">
        <v>724</v>
      </c>
      <c r="B167" s="1" t="s">
        <v>725</v>
      </c>
      <c r="C167" s="1" t="s">
        <v>726</v>
      </c>
      <c r="D167" s="1" t="s">
        <v>727</v>
      </c>
      <c r="E167" s="1" t="s">
        <v>728</v>
      </c>
      <c r="F167" s="1" t="s">
        <v>77</v>
      </c>
      <c r="G167" s="1">
        <v>5</v>
      </c>
      <c r="H167" s="1">
        <v>0</v>
      </c>
      <c r="I167" s="1">
        <v>0</v>
      </c>
      <c r="J167" s="1">
        <v>0</v>
      </c>
      <c r="K167" s="1">
        <v>0</v>
      </c>
      <c r="L167" s="1">
        <v>0</v>
      </c>
      <c r="M167" s="1">
        <v>14</v>
      </c>
      <c r="N167" s="1">
        <v>1</v>
      </c>
      <c r="O167" s="1">
        <v>0</v>
      </c>
      <c r="P167" s="1">
        <v>0</v>
      </c>
      <c r="Q167" s="1">
        <v>0</v>
      </c>
      <c r="R167" s="1">
        <v>0</v>
      </c>
      <c r="S167" s="1">
        <v>0</v>
      </c>
      <c r="T167" s="1">
        <v>0</v>
      </c>
      <c r="U167" s="1" t="s">
        <v>729</v>
      </c>
      <c r="V167" s="1" t="s">
        <v>35</v>
      </c>
      <c r="W167" s="1" t="s">
        <v>35</v>
      </c>
      <c r="X167" s="1" t="s">
        <v>35</v>
      </c>
      <c r="Y167" s="4" t="str">
        <f>IFERROR(VLOOKUP(F:F,#REF!,2,0),"需要手动检查")</f>
        <v>需要手动检查</v>
      </c>
      <c r="Z167" s="5" t="str">
        <f t="shared" si="2"/>
        <v>否</v>
      </c>
      <c r="AA167" s="6" t="s">
        <v>48</v>
      </c>
    </row>
    <row r="168" customHeight="1" spans="1:27">
      <c r="A168" s="1" t="s">
        <v>730</v>
      </c>
      <c r="B168" s="1" t="s">
        <v>731</v>
      </c>
      <c r="C168" s="1" t="s">
        <v>732</v>
      </c>
      <c r="D168" s="1" t="s">
        <v>733</v>
      </c>
      <c r="E168" s="1" t="s">
        <v>734</v>
      </c>
      <c r="F168" s="1" t="s">
        <v>77</v>
      </c>
      <c r="G168" s="1">
        <v>31</v>
      </c>
      <c r="H168" s="1">
        <v>1</v>
      </c>
      <c r="I168" s="1">
        <v>0</v>
      </c>
      <c r="J168" s="1">
        <v>0</v>
      </c>
      <c r="K168" s="1">
        <v>0</v>
      </c>
      <c r="L168" s="1">
        <v>0</v>
      </c>
      <c r="M168" s="1">
        <v>40</v>
      </c>
      <c r="N168" s="1">
        <v>0</v>
      </c>
      <c r="O168" s="1">
        <v>0</v>
      </c>
      <c r="P168" s="1">
        <v>0</v>
      </c>
      <c r="Q168" s="1">
        <v>0</v>
      </c>
      <c r="R168" s="1">
        <v>0</v>
      </c>
      <c r="S168" s="1">
        <v>0</v>
      </c>
      <c r="T168" s="1">
        <v>0</v>
      </c>
      <c r="U168" s="1" t="s">
        <v>35</v>
      </c>
      <c r="V168" s="1" t="s">
        <v>35</v>
      </c>
      <c r="W168" s="1" t="s">
        <v>735</v>
      </c>
      <c r="X168" s="1" t="s">
        <v>35</v>
      </c>
      <c r="Y168" s="4" t="str">
        <f>IFERROR(VLOOKUP(F:F,#REF!,2,0),"需要手动检查")</f>
        <v>需要手动检查</v>
      </c>
      <c r="Z168" s="5" t="str">
        <f t="shared" si="2"/>
        <v>否</v>
      </c>
      <c r="AA168" s="6" t="s">
        <v>38</v>
      </c>
    </row>
    <row r="169" customHeight="1" spans="1:27">
      <c r="A169" s="1" t="s">
        <v>736</v>
      </c>
      <c r="B169" s="1" t="s">
        <v>737</v>
      </c>
      <c r="C169" s="1" t="s">
        <v>71</v>
      </c>
      <c r="D169" s="1" t="s">
        <v>738</v>
      </c>
      <c r="E169" s="1" t="s">
        <v>739</v>
      </c>
      <c r="F169" s="1" t="s">
        <v>77</v>
      </c>
      <c r="G169" s="1">
        <v>3</v>
      </c>
      <c r="H169" s="1">
        <v>0</v>
      </c>
      <c r="I169" s="1">
        <v>0</v>
      </c>
      <c r="J169" s="1">
        <v>0</v>
      </c>
      <c r="K169" s="1">
        <v>0</v>
      </c>
      <c r="L169" s="1">
        <v>0</v>
      </c>
      <c r="M169" s="1">
        <v>2</v>
      </c>
      <c r="N169" s="1">
        <v>0</v>
      </c>
      <c r="O169" s="1">
        <v>0</v>
      </c>
      <c r="P169" s="1">
        <v>0</v>
      </c>
      <c r="Q169" s="1">
        <v>0</v>
      </c>
      <c r="R169" s="1">
        <v>0</v>
      </c>
      <c r="S169" s="1">
        <v>0</v>
      </c>
      <c r="T169" s="1">
        <v>0</v>
      </c>
      <c r="U169" s="1" t="s">
        <v>35</v>
      </c>
      <c r="V169" s="1" t="s">
        <v>35</v>
      </c>
      <c r="W169" s="1" t="s">
        <v>35</v>
      </c>
      <c r="X169" s="1" t="s">
        <v>35</v>
      </c>
      <c r="Y169" s="4" t="str">
        <f>IFERROR(VLOOKUP(F:F,#REF!,2,0),"需要手动检查")</f>
        <v>需要手动检查</v>
      </c>
      <c r="Z169" s="5" t="str">
        <f t="shared" si="2"/>
        <v>否</v>
      </c>
      <c r="AA169" s="6" t="s">
        <v>48</v>
      </c>
    </row>
    <row r="170" customHeight="1" spans="1:27">
      <c r="A170" s="1" t="s">
        <v>740</v>
      </c>
      <c r="B170" s="1" t="s">
        <v>741</v>
      </c>
      <c r="C170" s="1" t="s">
        <v>742</v>
      </c>
      <c r="D170" s="1" t="s">
        <v>743</v>
      </c>
      <c r="E170" s="1" t="s">
        <v>744</v>
      </c>
      <c r="F170" s="1" t="s">
        <v>77</v>
      </c>
      <c r="G170" s="1">
        <v>13</v>
      </c>
      <c r="H170" s="1">
        <v>0</v>
      </c>
      <c r="I170" s="1">
        <v>0</v>
      </c>
      <c r="J170" s="1">
        <v>0</v>
      </c>
      <c r="K170" s="1">
        <v>0</v>
      </c>
      <c r="L170" s="1">
        <v>0</v>
      </c>
      <c r="M170" s="1">
        <v>13</v>
      </c>
      <c r="N170" s="1">
        <v>0</v>
      </c>
      <c r="O170" s="1">
        <v>0</v>
      </c>
      <c r="P170" s="1">
        <v>0</v>
      </c>
      <c r="Q170" s="1">
        <v>0</v>
      </c>
      <c r="R170" s="1">
        <v>0</v>
      </c>
      <c r="S170" s="1">
        <v>0</v>
      </c>
      <c r="T170" s="1">
        <v>0</v>
      </c>
      <c r="U170" s="1" t="s">
        <v>35</v>
      </c>
      <c r="V170" s="1" t="s">
        <v>35</v>
      </c>
      <c r="W170" s="1" t="s">
        <v>745</v>
      </c>
      <c r="X170" s="1" t="s">
        <v>35</v>
      </c>
      <c r="Y170" s="4" t="str">
        <f>IFERROR(VLOOKUP(F:F,#REF!,2,0),"需要手动检查")</f>
        <v>需要手动检查</v>
      </c>
      <c r="Z170" s="5" t="str">
        <f t="shared" si="2"/>
        <v>否</v>
      </c>
      <c r="AA170" s="6" t="s">
        <v>38</v>
      </c>
    </row>
    <row r="171" customHeight="1" spans="1:27">
      <c r="A171" s="1" t="s">
        <v>156</v>
      </c>
      <c r="B171" s="1" t="s">
        <v>157</v>
      </c>
      <c r="C171" s="1" t="s">
        <v>746</v>
      </c>
      <c r="D171" s="1" t="s">
        <v>747</v>
      </c>
      <c r="E171" s="1" t="s">
        <v>748</v>
      </c>
      <c r="F171" s="1" t="s">
        <v>77</v>
      </c>
      <c r="G171" s="1">
        <v>2</v>
      </c>
      <c r="H171" s="1">
        <v>0</v>
      </c>
      <c r="I171" s="1">
        <v>0</v>
      </c>
      <c r="J171" s="1">
        <v>0</v>
      </c>
      <c r="K171" s="1">
        <v>0</v>
      </c>
      <c r="L171" s="1">
        <v>0</v>
      </c>
      <c r="M171" s="1">
        <v>2</v>
      </c>
      <c r="N171" s="1">
        <v>0</v>
      </c>
      <c r="O171" s="1">
        <v>0</v>
      </c>
      <c r="P171" s="1">
        <v>0</v>
      </c>
      <c r="Q171" s="1">
        <v>0</v>
      </c>
      <c r="R171" s="1">
        <v>0</v>
      </c>
      <c r="S171" s="1">
        <v>0</v>
      </c>
      <c r="T171" s="1">
        <v>0</v>
      </c>
      <c r="U171" s="1" t="s">
        <v>35</v>
      </c>
      <c r="V171" s="1" t="s">
        <v>35</v>
      </c>
      <c r="W171" s="1" t="s">
        <v>35</v>
      </c>
      <c r="X171" s="1" t="s">
        <v>35</v>
      </c>
      <c r="Y171" s="4" t="str">
        <f>IFERROR(VLOOKUP(F:F,#REF!,2,0),"需要手动检查")</f>
        <v>需要手动检查</v>
      </c>
      <c r="Z171" s="5" t="str">
        <f t="shared" si="2"/>
        <v>否</v>
      </c>
      <c r="AA171" s="6" t="s">
        <v>48</v>
      </c>
    </row>
    <row r="172" customHeight="1" spans="1:27">
      <c r="A172" s="1" t="s">
        <v>749</v>
      </c>
      <c r="B172" s="1" t="s">
        <v>750</v>
      </c>
      <c r="C172" s="1" t="s">
        <v>751</v>
      </c>
      <c r="D172" s="1" t="s">
        <v>752</v>
      </c>
      <c r="E172" s="1" t="s">
        <v>753</v>
      </c>
      <c r="F172" s="1" t="s">
        <v>77</v>
      </c>
      <c r="G172" s="1">
        <v>4</v>
      </c>
      <c r="H172" s="1">
        <v>0</v>
      </c>
      <c r="I172" s="1">
        <v>0</v>
      </c>
      <c r="J172" s="1">
        <v>0</v>
      </c>
      <c r="K172" s="1">
        <v>0</v>
      </c>
      <c r="L172" s="1">
        <v>0</v>
      </c>
      <c r="M172" s="1">
        <v>1</v>
      </c>
      <c r="N172" s="1">
        <v>0</v>
      </c>
      <c r="O172" s="1">
        <v>0</v>
      </c>
      <c r="P172" s="1">
        <v>0</v>
      </c>
      <c r="Q172" s="1">
        <v>0</v>
      </c>
      <c r="R172" s="1">
        <v>0</v>
      </c>
      <c r="S172" s="1">
        <v>0</v>
      </c>
      <c r="T172" s="1">
        <v>0</v>
      </c>
      <c r="U172" s="1" t="s">
        <v>35</v>
      </c>
      <c r="V172" s="1" t="s">
        <v>35</v>
      </c>
      <c r="W172" s="1" t="s">
        <v>35</v>
      </c>
      <c r="X172" s="1" t="s">
        <v>35</v>
      </c>
      <c r="Y172" s="4" t="str">
        <f>IFERROR(VLOOKUP(F:F,#REF!,2,0),"需要手动检查")</f>
        <v>需要手动检查</v>
      </c>
      <c r="Z172" s="5" t="str">
        <f t="shared" si="2"/>
        <v>否</v>
      </c>
      <c r="AA172" s="6" t="s">
        <v>38</v>
      </c>
    </row>
    <row r="173" customHeight="1" spans="1:27">
      <c r="A173" s="1" t="s">
        <v>754</v>
      </c>
      <c r="B173" s="1" t="s">
        <v>755</v>
      </c>
      <c r="C173" s="1" t="s">
        <v>756</v>
      </c>
      <c r="D173" s="1" t="s">
        <v>757</v>
      </c>
      <c r="E173" s="1" t="s">
        <v>758</v>
      </c>
      <c r="F173" s="1" t="s">
        <v>77</v>
      </c>
      <c r="G173" s="1">
        <v>3</v>
      </c>
      <c r="H173" s="1">
        <v>0</v>
      </c>
      <c r="I173" s="1">
        <v>0</v>
      </c>
      <c r="J173" s="1">
        <v>0</v>
      </c>
      <c r="K173" s="1">
        <v>0</v>
      </c>
      <c r="L173" s="1">
        <v>0</v>
      </c>
      <c r="M173" s="1">
        <v>10</v>
      </c>
      <c r="N173" s="1">
        <v>0</v>
      </c>
      <c r="O173" s="1">
        <v>0</v>
      </c>
      <c r="P173" s="1">
        <v>0</v>
      </c>
      <c r="Q173" s="1">
        <v>0</v>
      </c>
      <c r="R173" s="1">
        <v>0</v>
      </c>
      <c r="S173" s="1">
        <v>0</v>
      </c>
      <c r="T173" s="1">
        <v>0</v>
      </c>
      <c r="U173" s="1" t="s">
        <v>35</v>
      </c>
      <c r="V173" s="1" t="s">
        <v>35</v>
      </c>
      <c r="W173" s="1" t="s">
        <v>35</v>
      </c>
      <c r="X173" s="1" t="s">
        <v>35</v>
      </c>
      <c r="Y173" s="4" t="str">
        <f>IFERROR(VLOOKUP(F:F,#REF!,2,0),"需要手动检查")</f>
        <v>需要手动检查</v>
      </c>
      <c r="Z173" s="5" t="str">
        <f t="shared" si="2"/>
        <v>否</v>
      </c>
      <c r="AA173" s="6" t="s">
        <v>48</v>
      </c>
    </row>
    <row r="174" customHeight="1" spans="1:27">
      <c r="A174" s="1" t="s">
        <v>759</v>
      </c>
      <c r="B174" s="1" t="s">
        <v>760</v>
      </c>
      <c r="C174" s="1" t="s">
        <v>71</v>
      </c>
      <c r="D174" s="1" t="s">
        <v>761</v>
      </c>
      <c r="E174" s="1" t="s">
        <v>762</v>
      </c>
      <c r="F174" s="1" t="s">
        <v>77</v>
      </c>
      <c r="G174" s="1">
        <v>0</v>
      </c>
      <c r="H174" s="1">
        <v>0</v>
      </c>
      <c r="I174" s="1">
        <v>0</v>
      </c>
      <c r="J174" s="1">
        <v>0</v>
      </c>
      <c r="K174" s="1">
        <v>0</v>
      </c>
      <c r="L174" s="1">
        <v>0</v>
      </c>
      <c r="M174" s="1">
        <v>1</v>
      </c>
      <c r="N174" s="1">
        <v>0</v>
      </c>
      <c r="O174" s="1">
        <v>0</v>
      </c>
      <c r="P174" s="1">
        <v>0</v>
      </c>
      <c r="Q174" s="1">
        <v>0</v>
      </c>
      <c r="R174" s="1">
        <v>0</v>
      </c>
      <c r="S174" s="1">
        <v>0</v>
      </c>
      <c r="T174" s="1">
        <v>0</v>
      </c>
      <c r="U174" s="1" t="s">
        <v>35</v>
      </c>
      <c r="V174" s="1" t="s">
        <v>35</v>
      </c>
      <c r="W174" s="1" t="s">
        <v>35</v>
      </c>
      <c r="X174" s="1" t="s">
        <v>35</v>
      </c>
      <c r="Y174" s="4" t="str">
        <f>IFERROR(VLOOKUP(F:F,#REF!,2,0),"需要手动检查")</f>
        <v>需要手动检查</v>
      </c>
      <c r="Z174" s="5" t="str">
        <f t="shared" si="2"/>
        <v>否</v>
      </c>
      <c r="AA174" s="6" t="s">
        <v>38</v>
      </c>
    </row>
    <row r="175" customHeight="1" spans="1:27">
      <c r="A175" s="1" t="s">
        <v>435</v>
      </c>
      <c r="B175" s="1" t="s">
        <v>436</v>
      </c>
      <c r="C175" s="1" t="s">
        <v>763</v>
      </c>
      <c r="D175" s="1" t="s">
        <v>764</v>
      </c>
      <c r="E175" s="1" t="s">
        <v>765</v>
      </c>
      <c r="F175" s="1" t="s">
        <v>77</v>
      </c>
      <c r="G175" s="1">
        <v>2</v>
      </c>
      <c r="H175" s="1">
        <v>0</v>
      </c>
      <c r="I175" s="1">
        <v>0</v>
      </c>
      <c r="J175" s="1">
        <v>0</v>
      </c>
      <c r="K175" s="1">
        <v>0</v>
      </c>
      <c r="L175" s="1">
        <v>0</v>
      </c>
      <c r="M175" s="1">
        <v>3</v>
      </c>
      <c r="N175" s="1">
        <v>0</v>
      </c>
      <c r="O175" s="1">
        <v>0</v>
      </c>
      <c r="P175" s="1">
        <v>0</v>
      </c>
      <c r="Q175" s="1">
        <v>0</v>
      </c>
      <c r="R175" s="1">
        <v>0</v>
      </c>
      <c r="S175" s="1">
        <v>0</v>
      </c>
      <c r="T175" s="1">
        <v>0</v>
      </c>
      <c r="U175" s="1" t="s">
        <v>35</v>
      </c>
      <c r="V175" s="1" t="s">
        <v>35</v>
      </c>
      <c r="W175" s="1" t="s">
        <v>412</v>
      </c>
      <c r="X175" s="1" t="s">
        <v>35</v>
      </c>
      <c r="Y175" s="4" t="str">
        <f>IFERROR(VLOOKUP(F:F,#REF!,2,0),"需要手动检查")</f>
        <v>需要手动检查</v>
      </c>
      <c r="Z175" s="5" t="str">
        <f t="shared" si="2"/>
        <v>否</v>
      </c>
      <c r="AA175" s="6" t="s">
        <v>48</v>
      </c>
    </row>
    <row r="176" customHeight="1" spans="1:27">
      <c r="A176" s="1" t="s">
        <v>766</v>
      </c>
      <c r="B176" s="1" t="s">
        <v>767</v>
      </c>
      <c r="C176" s="1" t="s">
        <v>768</v>
      </c>
      <c r="D176" s="1" t="s">
        <v>769</v>
      </c>
      <c r="E176" s="1" t="s">
        <v>770</v>
      </c>
      <c r="F176" s="1" t="s">
        <v>77</v>
      </c>
      <c r="G176" s="1">
        <v>2</v>
      </c>
      <c r="H176" s="1">
        <v>0</v>
      </c>
      <c r="I176" s="1">
        <v>0</v>
      </c>
      <c r="J176" s="1">
        <v>0</v>
      </c>
      <c r="K176" s="1">
        <v>0</v>
      </c>
      <c r="L176" s="1">
        <v>0</v>
      </c>
      <c r="M176" s="1">
        <v>3</v>
      </c>
      <c r="N176" s="1">
        <v>0</v>
      </c>
      <c r="O176" s="1">
        <v>0</v>
      </c>
      <c r="P176" s="1">
        <v>0</v>
      </c>
      <c r="Q176" s="1">
        <v>0</v>
      </c>
      <c r="R176" s="1">
        <v>0</v>
      </c>
      <c r="S176" s="1">
        <v>0</v>
      </c>
      <c r="T176" s="1">
        <v>0</v>
      </c>
      <c r="U176" s="1" t="s">
        <v>35</v>
      </c>
      <c r="V176" s="1" t="s">
        <v>35</v>
      </c>
      <c r="W176" s="1" t="s">
        <v>35</v>
      </c>
      <c r="X176" s="1" t="s">
        <v>35</v>
      </c>
      <c r="Y176" s="4" t="str">
        <f>IFERROR(VLOOKUP(F:F,#REF!,2,0),"需要手动检查")</f>
        <v>需要手动检查</v>
      </c>
      <c r="Z176" s="5" t="str">
        <f t="shared" si="2"/>
        <v>否</v>
      </c>
      <c r="AA176" s="6" t="s">
        <v>38</v>
      </c>
    </row>
    <row r="177" customHeight="1" spans="1:27">
      <c r="A177" s="1" t="s">
        <v>771</v>
      </c>
      <c r="B177" s="1" t="s">
        <v>772</v>
      </c>
      <c r="C177" s="1" t="s">
        <v>773</v>
      </c>
      <c r="D177" s="1" t="s">
        <v>774</v>
      </c>
      <c r="E177" s="1" t="s">
        <v>775</v>
      </c>
      <c r="F177" s="1" t="s">
        <v>77</v>
      </c>
      <c r="G177" s="1">
        <v>1</v>
      </c>
      <c r="H177" s="1">
        <v>0</v>
      </c>
      <c r="I177" s="1">
        <v>0</v>
      </c>
      <c r="J177" s="1">
        <v>0</v>
      </c>
      <c r="K177" s="1">
        <v>0</v>
      </c>
      <c r="L177" s="1">
        <v>0</v>
      </c>
      <c r="M177" s="1">
        <v>1</v>
      </c>
      <c r="N177" s="1">
        <v>0</v>
      </c>
      <c r="O177" s="1">
        <v>0</v>
      </c>
      <c r="P177" s="1">
        <v>0</v>
      </c>
      <c r="Q177" s="1">
        <v>0</v>
      </c>
      <c r="R177" s="1">
        <v>0</v>
      </c>
      <c r="S177" s="1">
        <v>0</v>
      </c>
      <c r="T177" s="1">
        <v>0</v>
      </c>
      <c r="U177" s="1" t="s">
        <v>35</v>
      </c>
      <c r="V177" s="1" t="s">
        <v>35</v>
      </c>
      <c r="W177" s="1" t="s">
        <v>35</v>
      </c>
      <c r="X177" s="1" t="s">
        <v>35</v>
      </c>
      <c r="Y177" s="4" t="str">
        <f>IFERROR(VLOOKUP(F:F,#REF!,2,0),"需要手动检查")</f>
        <v>需要手动检查</v>
      </c>
      <c r="Z177" s="5" t="str">
        <f t="shared" si="2"/>
        <v>否</v>
      </c>
      <c r="AA177" s="6" t="s">
        <v>48</v>
      </c>
    </row>
    <row r="178" customHeight="1" spans="1:27">
      <c r="A178" s="1" t="s">
        <v>776</v>
      </c>
      <c r="B178" s="1" t="s">
        <v>777</v>
      </c>
      <c r="C178" s="1" t="s">
        <v>778</v>
      </c>
      <c r="D178" s="1" t="s">
        <v>779</v>
      </c>
      <c r="E178" s="1" t="s">
        <v>780</v>
      </c>
      <c r="F178" s="1" t="s">
        <v>77</v>
      </c>
      <c r="G178" s="1">
        <v>11</v>
      </c>
      <c r="H178" s="1">
        <v>0</v>
      </c>
      <c r="I178" s="1">
        <v>0</v>
      </c>
      <c r="J178" s="1">
        <v>0</v>
      </c>
      <c r="K178" s="1">
        <v>0</v>
      </c>
      <c r="L178" s="1">
        <v>0</v>
      </c>
      <c r="M178" s="1">
        <v>16</v>
      </c>
      <c r="N178" s="1">
        <v>0</v>
      </c>
      <c r="O178" s="1">
        <v>0</v>
      </c>
      <c r="P178" s="1">
        <v>0</v>
      </c>
      <c r="Q178" s="1">
        <v>0</v>
      </c>
      <c r="R178" s="1">
        <v>0</v>
      </c>
      <c r="S178" s="1">
        <v>0</v>
      </c>
      <c r="T178" s="1">
        <v>0</v>
      </c>
      <c r="U178" s="1" t="s">
        <v>35</v>
      </c>
      <c r="V178" s="1" t="s">
        <v>35</v>
      </c>
      <c r="W178" s="1" t="s">
        <v>35</v>
      </c>
      <c r="X178" s="1" t="s">
        <v>35</v>
      </c>
      <c r="Y178" s="4" t="str">
        <f>IFERROR(VLOOKUP(F:F,#REF!,2,0),"需要手动检查")</f>
        <v>需要手动检查</v>
      </c>
      <c r="Z178" s="5" t="str">
        <f t="shared" si="2"/>
        <v>否</v>
      </c>
      <c r="AA178" s="6" t="s">
        <v>38</v>
      </c>
    </row>
    <row r="179" customHeight="1" spans="1:27">
      <c r="A179" s="1" t="s">
        <v>776</v>
      </c>
      <c r="B179" s="1" t="s">
        <v>777</v>
      </c>
      <c r="C179" s="1" t="s">
        <v>71</v>
      </c>
      <c r="D179" s="1" t="s">
        <v>781</v>
      </c>
      <c r="E179" s="1" t="s">
        <v>782</v>
      </c>
      <c r="F179" s="1" t="s">
        <v>77</v>
      </c>
      <c r="G179" s="1">
        <v>4</v>
      </c>
      <c r="H179" s="1">
        <v>0</v>
      </c>
      <c r="I179" s="1">
        <v>0</v>
      </c>
      <c r="J179" s="1">
        <v>0</v>
      </c>
      <c r="K179" s="1">
        <v>0</v>
      </c>
      <c r="L179" s="1">
        <v>0</v>
      </c>
      <c r="M179" s="1">
        <v>4</v>
      </c>
      <c r="N179" s="1">
        <v>1</v>
      </c>
      <c r="O179" s="1">
        <v>0</v>
      </c>
      <c r="P179" s="1">
        <v>0</v>
      </c>
      <c r="Q179" s="1">
        <v>0</v>
      </c>
      <c r="R179" s="1">
        <v>0</v>
      </c>
      <c r="S179" s="1">
        <v>0</v>
      </c>
      <c r="T179" s="1">
        <v>0</v>
      </c>
      <c r="U179" s="1" t="s">
        <v>440</v>
      </c>
      <c r="V179" s="1" t="s">
        <v>35</v>
      </c>
      <c r="W179" s="1" t="s">
        <v>35</v>
      </c>
      <c r="X179" s="1" t="s">
        <v>35</v>
      </c>
      <c r="Y179" s="4" t="str">
        <f>IFERROR(VLOOKUP(F:F,#REF!,2,0),"需要手动检查")</f>
        <v>需要手动检查</v>
      </c>
      <c r="Z179" s="5" t="str">
        <f t="shared" si="2"/>
        <v>否</v>
      </c>
      <c r="AA179" s="6" t="s">
        <v>48</v>
      </c>
    </row>
    <row r="180" customHeight="1" spans="1:27">
      <c r="A180" s="1" t="s">
        <v>783</v>
      </c>
      <c r="B180" s="1" t="s">
        <v>784</v>
      </c>
      <c r="C180" s="1" t="s">
        <v>785</v>
      </c>
      <c r="D180" s="1" t="s">
        <v>786</v>
      </c>
      <c r="E180" s="1" t="s">
        <v>787</v>
      </c>
      <c r="F180" s="1" t="s">
        <v>77</v>
      </c>
      <c r="G180" s="1">
        <v>22</v>
      </c>
      <c r="H180" s="1">
        <v>0</v>
      </c>
      <c r="I180" s="1">
        <v>0</v>
      </c>
      <c r="J180" s="1">
        <v>0</v>
      </c>
      <c r="K180" s="1">
        <v>0</v>
      </c>
      <c r="L180" s="1">
        <v>0</v>
      </c>
      <c r="M180" s="1">
        <v>25</v>
      </c>
      <c r="N180" s="1">
        <v>1</v>
      </c>
      <c r="O180" s="1">
        <v>0</v>
      </c>
      <c r="P180" s="1">
        <v>0</v>
      </c>
      <c r="Q180" s="1">
        <v>0</v>
      </c>
      <c r="R180" s="1">
        <v>0</v>
      </c>
      <c r="S180" s="1">
        <v>0</v>
      </c>
      <c r="T180" s="1">
        <v>0</v>
      </c>
      <c r="U180" s="1" t="s">
        <v>788</v>
      </c>
      <c r="V180" s="1" t="s">
        <v>35</v>
      </c>
      <c r="W180" s="1" t="s">
        <v>789</v>
      </c>
      <c r="X180" s="1" t="s">
        <v>35</v>
      </c>
      <c r="Y180" s="4" t="str">
        <f>IFERROR(VLOOKUP(F:F,#REF!,2,0),"需要手动检查")</f>
        <v>需要手动检查</v>
      </c>
      <c r="Z180" s="5" t="str">
        <f t="shared" si="2"/>
        <v>否</v>
      </c>
      <c r="AA180" s="6" t="s">
        <v>38</v>
      </c>
    </row>
    <row r="181" customHeight="1" spans="1:27">
      <c r="A181" s="1" t="s">
        <v>790</v>
      </c>
      <c r="B181" s="1" t="s">
        <v>791</v>
      </c>
      <c r="C181" s="1" t="s">
        <v>792</v>
      </c>
      <c r="D181" s="1" t="s">
        <v>793</v>
      </c>
      <c r="E181" s="1" t="s">
        <v>794</v>
      </c>
      <c r="F181" s="1" t="s">
        <v>77</v>
      </c>
      <c r="G181" s="1">
        <v>5</v>
      </c>
      <c r="H181" s="1">
        <v>0</v>
      </c>
      <c r="I181" s="1">
        <v>0</v>
      </c>
      <c r="J181" s="1">
        <v>0</v>
      </c>
      <c r="K181" s="1">
        <v>0</v>
      </c>
      <c r="L181" s="1">
        <v>0</v>
      </c>
      <c r="M181" s="1">
        <v>5</v>
      </c>
      <c r="N181" s="1">
        <v>2</v>
      </c>
      <c r="O181" s="1">
        <v>0</v>
      </c>
      <c r="P181" s="1">
        <v>0</v>
      </c>
      <c r="Q181" s="1">
        <v>0</v>
      </c>
      <c r="R181" s="1">
        <v>0</v>
      </c>
      <c r="S181" s="1">
        <v>0</v>
      </c>
      <c r="T181" s="1">
        <v>0</v>
      </c>
      <c r="U181" s="1" t="s">
        <v>495</v>
      </c>
      <c r="V181" s="1" t="s">
        <v>35</v>
      </c>
      <c r="W181" s="1" t="s">
        <v>35</v>
      </c>
      <c r="X181" s="1" t="s">
        <v>35</v>
      </c>
      <c r="Y181" s="4" t="str">
        <f>IFERROR(VLOOKUP(F:F,#REF!,2,0),"需要手动检查")</f>
        <v>需要手动检查</v>
      </c>
      <c r="Z181" s="5" t="str">
        <f t="shared" si="2"/>
        <v>否</v>
      </c>
      <c r="AA181" s="6" t="s">
        <v>48</v>
      </c>
    </row>
    <row r="182" customHeight="1" spans="1:27">
      <c r="A182" s="1" t="s">
        <v>795</v>
      </c>
      <c r="B182" s="1" t="s">
        <v>796</v>
      </c>
      <c r="C182" s="1" t="s">
        <v>797</v>
      </c>
      <c r="D182" s="1" t="s">
        <v>798</v>
      </c>
      <c r="E182" s="1" t="s">
        <v>799</v>
      </c>
      <c r="F182" s="1" t="s">
        <v>77</v>
      </c>
      <c r="G182" s="1">
        <v>53</v>
      </c>
      <c r="H182" s="1">
        <v>0</v>
      </c>
      <c r="I182" s="1">
        <v>0</v>
      </c>
      <c r="J182" s="1">
        <v>0</v>
      </c>
      <c r="K182" s="1">
        <v>0</v>
      </c>
      <c r="L182" s="1">
        <v>0</v>
      </c>
      <c r="M182" s="1">
        <v>89</v>
      </c>
      <c r="N182" s="1">
        <v>2</v>
      </c>
      <c r="O182" s="1">
        <v>0</v>
      </c>
      <c r="P182" s="1">
        <v>0</v>
      </c>
      <c r="Q182" s="1">
        <v>0</v>
      </c>
      <c r="R182" s="1">
        <v>0</v>
      </c>
      <c r="S182" s="1">
        <v>0</v>
      </c>
      <c r="T182" s="1">
        <v>0</v>
      </c>
      <c r="U182" s="1" t="s">
        <v>800</v>
      </c>
      <c r="V182" s="1" t="s">
        <v>35</v>
      </c>
      <c r="W182" s="1" t="s">
        <v>801</v>
      </c>
      <c r="X182" s="1" t="s">
        <v>35</v>
      </c>
      <c r="Y182" s="4" t="str">
        <f>IFERROR(VLOOKUP(F:F,#REF!,2,0),"需要手动检查")</f>
        <v>需要手动检查</v>
      </c>
      <c r="Z182" s="5" t="str">
        <f t="shared" si="2"/>
        <v>否</v>
      </c>
      <c r="AA182" s="6" t="s">
        <v>38</v>
      </c>
    </row>
    <row r="183" customHeight="1" spans="1:27">
      <c r="A183" s="1" t="s">
        <v>802</v>
      </c>
      <c r="B183" s="1" t="s">
        <v>803</v>
      </c>
      <c r="C183" s="1" t="s">
        <v>804</v>
      </c>
      <c r="D183" s="1" t="s">
        <v>805</v>
      </c>
      <c r="E183" s="1" t="s">
        <v>806</v>
      </c>
      <c r="F183" s="1" t="s">
        <v>77</v>
      </c>
      <c r="G183" s="1">
        <v>18</v>
      </c>
      <c r="H183" s="1">
        <v>0</v>
      </c>
      <c r="I183" s="1">
        <v>0</v>
      </c>
      <c r="J183" s="1">
        <v>0</v>
      </c>
      <c r="K183" s="1">
        <v>0</v>
      </c>
      <c r="L183" s="1">
        <v>0</v>
      </c>
      <c r="M183" s="1">
        <v>19</v>
      </c>
      <c r="N183" s="1">
        <v>0</v>
      </c>
      <c r="O183" s="1">
        <v>0</v>
      </c>
      <c r="P183" s="1">
        <v>0</v>
      </c>
      <c r="Q183" s="1">
        <v>0</v>
      </c>
      <c r="R183" s="1">
        <v>0</v>
      </c>
      <c r="S183" s="1">
        <v>0</v>
      </c>
      <c r="T183" s="1">
        <v>0</v>
      </c>
      <c r="U183" s="1" t="s">
        <v>35</v>
      </c>
      <c r="V183" s="1" t="s">
        <v>35</v>
      </c>
      <c r="W183" s="1" t="s">
        <v>807</v>
      </c>
      <c r="X183" s="1" t="s">
        <v>35</v>
      </c>
      <c r="Y183" s="4" t="str">
        <f>IFERROR(VLOOKUP(F:F,#REF!,2,0),"需要手动检查")</f>
        <v>需要手动检查</v>
      </c>
      <c r="Z183" s="5" t="str">
        <f t="shared" si="2"/>
        <v>否</v>
      </c>
      <c r="AA183" s="6" t="s">
        <v>48</v>
      </c>
    </row>
    <row r="184" customHeight="1" spans="1:27">
      <c r="A184" s="1" t="s">
        <v>808</v>
      </c>
      <c r="B184" s="1" t="s">
        <v>809</v>
      </c>
      <c r="C184" s="1" t="s">
        <v>810</v>
      </c>
      <c r="D184" s="1" t="s">
        <v>811</v>
      </c>
      <c r="E184" s="1" t="s">
        <v>812</v>
      </c>
      <c r="F184" s="1" t="s">
        <v>77</v>
      </c>
      <c r="G184" s="1">
        <v>81</v>
      </c>
      <c r="H184" s="1">
        <v>1</v>
      </c>
      <c r="I184" s="1">
        <v>0</v>
      </c>
      <c r="J184" s="1">
        <v>0</v>
      </c>
      <c r="K184" s="1">
        <v>0</v>
      </c>
      <c r="L184" s="1">
        <v>0</v>
      </c>
      <c r="M184" s="1">
        <v>132</v>
      </c>
      <c r="N184" s="1">
        <v>11</v>
      </c>
      <c r="O184" s="1">
        <v>0</v>
      </c>
      <c r="P184" s="1">
        <v>0</v>
      </c>
      <c r="Q184" s="1">
        <v>0</v>
      </c>
      <c r="R184" s="1">
        <v>0</v>
      </c>
      <c r="S184" s="1">
        <v>0</v>
      </c>
      <c r="T184" s="1">
        <v>0</v>
      </c>
      <c r="U184" s="1" t="s">
        <v>813</v>
      </c>
      <c r="V184" s="1" t="s">
        <v>35</v>
      </c>
      <c r="W184" s="1" t="s">
        <v>35</v>
      </c>
      <c r="X184" s="1" t="s">
        <v>35</v>
      </c>
      <c r="Y184" s="4" t="str">
        <f>IFERROR(VLOOKUP(F:F,#REF!,2,0),"需要手动检查")</f>
        <v>需要手动检查</v>
      </c>
      <c r="Z184" s="5" t="str">
        <f t="shared" si="2"/>
        <v>否</v>
      </c>
      <c r="AA184" s="6" t="s">
        <v>38</v>
      </c>
    </row>
    <row r="185" customHeight="1" spans="1:27">
      <c r="A185" s="1" t="s">
        <v>814</v>
      </c>
      <c r="B185" s="1" t="s">
        <v>815</v>
      </c>
      <c r="C185" s="1" t="s">
        <v>816</v>
      </c>
      <c r="D185" s="1" t="s">
        <v>817</v>
      </c>
      <c r="E185" s="1" t="s">
        <v>818</v>
      </c>
      <c r="F185" s="1" t="s">
        <v>77</v>
      </c>
      <c r="G185" s="1">
        <v>458</v>
      </c>
      <c r="H185" s="1">
        <v>38</v>
      </c>
      <c r="I185" s="1">
        <v>0</v>
      </c>
      <c r="J185" s="1">
        <v>0</v>
      </c>
      <c r="K185" s="1">
        <v>0</v>
      </c>
      <c r="L185" s="1">
        <v>0</v>
      </c>
      <c r="M185" s="1">
        <v>548</v>
      </c>
      <c r="N185" s="1">
        <v>103</v>
      </c>
      <c r="O185" s="1">
        <v>0</v>
      </c>
      <c r="P185" s="1">
        <v>0</v>
      </c>
      <c r="Q185" s="1">
        <v>0</v>
      </c>
      <c r="R185" s="1">
        <v>0</v>
      </c>
      <c r="S185" s="1">
        <v>0</v>
      </c>
      <c r="T185" s="1">
        <v>0</v>
      </c>
      <c r="U185" s="1" t="s">
        <v>819</v>
      </c>
      <c r="V185" s="1" t="s">
        <v>35</v>
      </c>
      <c r="W185" s="1" t="s">
        <v>820</v>
      </c>
      <c r="X185" s="1" t="s">
        <v>35</v>
      </c>
      <c r="Y185" s="4" t="str">
        <f>IFERROR(VLOOKUP(F:F,#REF!,2,0),"需要手动检查")</f>
        <v>需要手动检查</v>
      </c>
      <c r="Z185" s="5" t="str">
        <f t="shared" si="2"/>
        <v>否</v>
      </c>
      <c r="AA185" s="6" t="s">
        <v>48</v>
      </c>
    </row>
    <row r="186" customHeight="1" spans="1:27">
      <c r="A186" s="1" t="s">
        <v>821</v>
      </c>
      <c r="B186" s="1" t="s">
        <v>822</v>
      </c>
      <c r="C186" s="1" t="s">
        <v>823</v>
      </c>
      <c r="D186" s="1" t="s">
        <v>824</v>
      </c>
      <c r="E186" s="1" t="s">
        <v>825</v>
      </c>
      <c r="F186" s="1" t="s">
        <v>77</v>
      </c>
      <c r="G186" s="1">
        <v>12</v>
      </c>
      <c r="H186" s="1">
        <v>0</v>
      </c>
      <c r="I186" s="1">
        <v>0</v>
      </c>
      <c r="J186" s="1">
        <v>0</v>
      </c>
      <c r="K186" s="1">
        <v>0</v>
      </c>
      <c r="L186" s="1">
        <v>0</v>
      </c>
      <c r="M186" s="1">
        <v>20</v>
      </c>
      <c r="N186" s="1">
        <v>0</v>
      </c>
      <c r="O186" s="1">
        <v>0</v>
      </c>
      <c r="P186" s="1">
        <v>0</v>
      </c>
      <c r="Q186" s="1">
        <v>0</v>
      </c>
      <c r="R186" s="1">
        <v>0</v>
      </c>
      <c r="S186" s="1">
        <v>0</v>
      </c>
      <c r="T186" s="1">
        <v>0</v>
      </c>
      <c r="U186" s="1" t="s">
        <v>35</v>
      </c>
      <c r="V186" s="1" t="s">
        <v>35</v>
      </c>
      <c r="W186" s="1" t="s">
        <v>35</v>
      </c>
      <c r="X186" s="1" t="s">
        <v>35</v>
      </c>
      <c r="Y186" s="4" t="str">
        <f>IFERROR(VLOOKUP(F:F,#REF!,2,0),"需要手动检查")</f>
        <v>需要手动检查</v>
      </c>
      <c r="Z186" s="5" t="str">
        <f t="shared" si="2"/>
        <v>否</v>
      </c>
      <c r="AA186" s="6" t="s">
        <v>38</v>
      </c>
    </row>
    <row r="187" customHeight="1" spans="1:27">
      <c r="A187" s="1" t="s">
        <v>826</v>
      </c>
      <c r="B187" s="1" t="s">
        <v>827</v>
      </c>
      <c r="C187" s="1" t="s">
        <v>71</v>
      </c>
      <c r="D187" s="1" t="s">
        <v>828</v>
      </c>
      <c r="E187" s="1" t="s">
        <v>829</v>
      </c>
      <c r="F187" s="1" t="s">
        <v>77</v>
      </c>
      <c r="G187" s="1">
        <v>1</v>
      </c>
      <c r="H187" s="1">
        <v>0</v>
      </c>
      <c r="I187" s="1">
        <v>0</v>
      </c>
      <c r="J187" s="1">
        <v>0</v>
      </c>
      <c r="K187" s="1">
        <v>0</v>
      </c>
      <c r="L187" s="1">
        <v>0</v>
      </c>
      <c r="M187" s="1">
        <v>1</v>
      </c>
      <c r="N187" s="1">
        <v>0</v>
      </c>
      <c r="O187" s="1">
        <v>0</v>
      </c>
      <c r="P187" s="1">
        <v>0</v>
      </c>
      <c r="Q187" s="1">
        <v>0</v>
      </c>
      <c r="R187" s="1">
        <v>0</v>
      </c>
      <c r="S187" s="1">
        <v>0</v>
      </c>
      <c r="T187" s="1">
        <v>0</v>
      </c>
      <c r="U187" s="1" t="s">
        <v>35</v>
      </c>
      <c r="V187" s="1" t="s">
        <v>35</v>
      </c>
      <c r="W187" s="1" t="s">
        <v>35</v>
      </c>
      <c r="X187" s="1" t="s">
        <v>35</v>
      </c>
      <c r="Y187" s="4" t="str">
        <f>IFERROR(VLOOKUP(F:F,#REF!,2,0),"需要手动检查")</f>
        <v>需要手动检查</v>
      </c>
      <c r="Z187" s="5" t="str">
        <f t="shared" si="2"/>
        <v>否</v>
      </c>
      <c r="AA187" s="6" t="s">
        <v>48</v>
      </c>
    </row>
    <row r="188" customHeight="1" spans="1:27">
      <c r="A188" s="1" t="s">
        <v>830</v>
      </c>
      <c r="B188" s="1" t="s">
        <v>831</v>
      </c>
      <c r="C188" s="1" t="s">
        <v>832</v>
      </c>
      <c r="D188" s="1" t="s">
        <v>833</v>
      </c>
      <c r="E188" s="1" t="s">
        <v>834</v>
      </c>
      <c r="F188" s="1" t="s">
        <v>77</v>
      </c>
      <c r="G188" s="1">
        <v>15</v>
      </c>
      <c r="H188" s="1">
        <v>0</v>
      </c>
      <c r="I188" s="1">
        <v>0</v>
      </c>
      <c r="J188" s="1">
        <v>0</v>
      </c>
      <c r="K188" s="1">
        <v>0</v>
      </c>
      <c r="L188" s="1">
        <v>0</v>
      </c>
      <c r="M188" s="1">
        <v>16</v>
      </c>
      <c r="N188" s="1">
        <v>0</v>
      </c>
      <c r="O188" s="1">
        <v>0</v>
      </c>
      <c r="P188" s="1">
        <v>0</v>
      </c>
      <c r="Q188" s="1">
        <v>0</v>
      </c>
      <c r="R188" s="1">
        <v>0</v>
      </c>
      <c r="S188" s="1">
        <v>0</v>
      </c>
      <c r="T188" s="1">
        <v>0</v>
      </c>
      <c r="U188" s="1" t="s">
        <v>35</v>
      </c>
      <c r="V188" s="1" t="s">
        <v>35</v>
      </c>
      <c r="W188" s="1" t="s">
        <v>35</v>
      </c>
      <c r="X188" s="1" t="s">
        <v>35</v>
      </c>
      <c r="Y188" s="4" t="str">
        <f>IFERROR(VLOOKUP(F:F,#REF!,2,0),"需要手动检查")</f>
        <v>需要手动检查</v>
      </c>
      <c r="Z188" s="5" t="str">
        <f t="shared" si="2"/>
        <v>否</v>
      </c>
      <c r="AA188" s="6" t="s">
        <v>38</v>
      </c>
    </row>
    <row r="189" customHeight="1" spans="1:27">
      <c r="A189" s="1" t="s">
        <v>835</v>
      </c>
      <c r="B189" s="1" t="s">
        <v>836</v>
      </c>
      <c r="C189" s="1" t="s">
        <v>837</v>
      </c>
      <c r="D189" s="1" t="s">
        <v>838</v>
      </c>
      <c r="E189" s="1" t="s">
        <v>839</v>
      </c>
      <c r="F189" s="1" t="s">
        <v>77</v>
      </c>
      <c r="G189" s="1">
        <v>8</v>
      </c>
      <c r="H189" s="1">
        <v>0</v>
      </c>
      <c r="I189" s="1">
        <v>0</v>
      </c>
      <c r="J189" s="1">
        <v>0</v>
      </c>
      <c r="K189" s="1">
        <v>0</v>
      </c>
      <c r="L189" s="1">
        <v>0</v>
      </c>
      <c r="M189" s="1">
        <v>9</v>
      </c>
      <c r="N189" s="1">
        <v>0</v>
      </c>
      <c r="O189" s="1">
        <v>0</v>
      </c>
      <c r="P189" s="1">
        <v>0</v>
      </c>
      <c r="Q189" s="1">
        <v>0</v>
      </c>
      <c r="R189" s="1">
        <v>0</v>
      </c>
      <c r="S189" s="1">
        <v>0</v>
      </c>
      <c r="T189" s="1">
        <v>0</v>
      </c>
      <c r="U189" s="1" t="s">
        <v>35</v>
      </c>
      <c r="V189" s="1" t="s">
        <v>35</v>
      </c>
      <c r="W189" s="1" t="s">
        <v>35</v>
      </c>
      <c r="X189" s="1" t="s">
        <v>35</v>
      </c>
      <c r="Y189" s="4" t="str">
        <f>IFERROR(VLOOKUP(F:F,#REF!,2,0),"需要手动检查")</f>
        <v>需要手动检查</v>
      </c>
      <c r="Z189" s="5" t="str">
        <f t="shared" si="2"/>
        <v>否</v>
      </c>
      <c r="AA189" s="6" t="s">
        <v>48</v>
      </c>
    </row>
    <row r="190" customHeight="1" spans="1:27">
      <c r="A190" s="1" t="s">
        <v>840</v>
      </c>
      <c r="B190" s="1" t="s">
        <v>841</v>
      </c>
      <c r="C190" s="1" t="s">
        <v>842</v>
      </c>
      <c r="D190" s="1" t="s">
        <v>843</v>
      </c>
      <c r="E190" s="1" t="s">
        <v>844</v>
      </c>
      <c r="F190" s="1" t="s">
        <v>77</v>
      </c>
      <c r="G190" s="1">
        <v>6</v>
      </c>
      <c r="H190" s="1">
        <v>0</v>
      </c>
      <c r="I190" s="1">
        <v>0</v>
      </c>
      <c r="J190" s="1">
        <v>0</v>
      </c>
      <c r="K190" s="1">
        <v>0</v>
      </c>
      <c r="L190" s="1">
        <v>0</v>
      </c>
      <c r="M190" s="1">
        <v>8</v>
      </c>
      <c r="N190" s="1">
        <v>0</v>
      </c>
      <c r="O190" s="1">
        <v>0</v>
      </c>
      <c r="P190" s="1">
        <v>0</v>
      </c>
      <c r="Q190" s="1">
        <v>0</v>
      </c>
      <c r="R190" s="1">
        <v>0</v>
      </c>
      <c r="S190" s="1">
        <v>0</v>
      </c>
      <c r="T190" s="1">
        <v>0</v>
      </c>
      <c r="U190" s="1" t="s">
        <v>35</v>
      </c>
      <c r="V190" s="1" t="s">
        <v>35</v>
      </c>
      <c r="W190" s="1" t="s">
        <v>35</v>
      </c>
      <c r="X190" s="1" t="s">
        <v>35</v>
      </c>
      <c r="Y190" s="4" t="str">
        <f>IFERROR(VLOOKUP(F:F,#REF!,2,0),"需要手动检查")</f>
        <v>需要手动检查</v>
      </c>
      <c r="Z190" s="5" t="str">
        <f t="shared" si="2"/>
        <v>否</v>
      </c>
      <c r="AA190" s="6" t="s">
        <v>38</v>
      </c>
    </row>
    <row r="191" customHeight="1" spans="1:27">
      <c r="A191" s="1" t="s">
        <v>845</v>
      </c>
      <c r="B191" s="1" t="s">
        <v>846</v>
      </c>
      <c r="C191" s="1" t="s">
        <v>71</v>
      </c>
      <c r="D191" s="1" t="s">
        <v>847</v>
      </c>
      <c r="E191" s="1" t="s">
        <v>848</v>
      </c>
      <c r="F191" s="1" t="s">
        <v>77</v>
      </c>
      <c r="G191" s="1">
        <v>40</v>
      </c>
      <c r="H191" s="1">
        <v>4</v>
      </c>
      <c r="I191" s="1">
        <v>0</v>
      </c>
      <c r="J191" s="1">
        <v>0</v>
      </c>
      <c r="K191" s="1">
        <v>0</v>
      </c>
      <c r="L191" s="1">
        <v>0</v>
      </c>
      <c r="M191" s="1">
        <v>47</v>
      </c>
      <c r="N191" s="1">
        <v>0</v>
      </c>
      <c r="O191" s="1">
        <v>0</v>
      </c>
      <c r="P191" s="1">
        <v>0</v>
      </c>
      <c r="Q191" s="1">
        <v>0</v>
      </c>
      <c r="R191" s="1">
        <v>0</v>
      </c>
      <c r="S191" s="1">
        <v>0</v>
      </c>
      <c r="T191" s="1">
        <v>0</v>
      </c>
      <c r="U191" s="1" t="s">
        <v>35</v>
      </c>
      <c r="V191" s="1" t="s">
        <v>35</v>
      </c>
      <c r="W191" s="1" t="s">
        <v>849</v>
      </c>
      <c r="X191" s="1" t="s">
        <v>35</v>
      </c>
      <c r="Y191" s="4" t="str">
        <f>IFERROR(VLOOKUP(F:F,#REF!,2,0),"需要手动检查")</f>
        <v>需要手动检查</v>
      </c>
      <c r="Z191" s="5" t="str">
        <f t="shared" si="2"/>
        <v>否</v>
      </c>
      <c r="AA191" s="6" t="s">
        <v>48</v>
      </c>
    </row>
    <row r="192" customHeight="1" spans="1:27">
      <c r="A192" s="1" t="s">
        <v>845</v>
      </c>
      <c r="B192" s="1" t="s">
        <v>846</v>
      </c>
      <c r="C192" s="1" t="s">
        <v>71</v>
      </c>
      <c r="D192" s="1" t="s">
        <v>850</v>
      </c>
      <c r="E192" s="1" t="s">
        <v>851</v>
      </c>
      <c r="F192" s="1" t="s">
        <v>77</v>
      </c>
      <c r="G192" s="1">
        <v>42</v>
      </c>
      <c r="H192" s="1">
        <v>4</v>
      </c>
      <c r="I192" s="1">
        <v>0</v>
      </c>
      <c r="J192" s="1">
        <v>0</v>
      </c>
      <c r="K192" s="1">
        <v>0</v>
      </c>
      <c r="L192" s="1">
        <v>0</v>
      </c>
      <c r="M192" s="1">
        <v>42</v>
      </c>
      <c r="N192" s="1">
        <v>1</v>
      </c>
      <c r="O192" s="1">
        <v>0</v>
      </c>
      <c r="P192" s="1">
        <v>0</v>
      </c>
      <c r="Q192" s="1">
        <v>0</v>
      </c>
      <c r="R192" s="1">
        <v>0</v>
      </c>
      <c r="S192" s="1">
        <v>0</v>
      </c>
      <c r="T192" s="1">
        <v>0</v>
      </c>
      <c r="U192" s="1" t="s">
        <v>852</v>
      </c>
      <c r="V192" s="1" t="s">
        <v>35</v>
      </c>
      <c r="W192" s="1" t="s">
        <v>852</v>
      </c>
      <c r="X192" s="1" t="s">
        <v>35</v>
      </c>
      <c r="Y192" s="4" t="str">
        <f>IFERROR(VLOOKUP(F:F,#REF!,2,0),"需要手动检查")</f>
        <v>需要手动检查</v>
      </c>
      <c r="Z192" s="5" t="str">
        <f t="shared" si="2"/>
        <v>否</v>
      </c>
      <c r="AA192" s="6" t="s">
        <v>38</v>
      </c>
    </row>
    <row r="193" customHeight="1" spans="1:27">
      <c r="A193" s="1" t="s">
        <v>853</v>
      </c>
      <c r="B193" s="1" t="s">
        <v>854</v>
      </c>
      <c r="C193" s="1" t="s">
        <v>71</v>
      </c>
      <c r="D193" s="1" t="s">
        <v>855</v>
      </c>
      <c r="E193" s="1" t="s">
        <v>856</v>
      </c>
      <c r="F193" s="1" t="s">
        <v>77</v>
      </c>
      <c r="G193" s="1">
        <v>12</v>
      </c>
      <c r="H193" s="1">
        <v>0</v>
      </c>
      <c r="I193" s="1">
        <v>0</v>
      </c>
      <c r="J193" s="1">
        <v>0</v>
      </c>
      <c r="K193" s="1">
        <v>0</v>
      </c>
      <c r="L193" s="1">
        <v>0</v>
      </c>
      <c r="M193" s="1">
        <v>17</v>
      </c>
      <c r="N193" s="1">
        <v>0</v>
      </c>
      <c r="O193" s="1">
        <v>0</v>
      </c>
      <c r="P193" s="1">
        <v>0</v>
      </c>
      <c r="Q193" s="1">
        <v>0</v>
      </c>
      <c r="R193" s="1">
        <v>0</v>
      </c>
      <c r="S193" s="1">
        <v>0</v>
      </c>
      <c r="T193" s="1">
        <v>0</v>
      </c>
      <c r="U193" s="1" t="s">
        <v>35</v>
      </c>
      <c r="V193" s="1" t="s">
        <v>35</v>
      </c>
      <c r="W193" s="1" t="s">
        <v>35</v>
      </c>
      <c r="X193" s="1" t="s">
        <v>35</v>
      </c>
      <c r="Y193" s="4" t="str">
        <f>IFERROR(VLOOKUP(F:F,#REF!,2,0),"需要手动检查")</f>
        <v>需要手动检查</v>
      </c>
      <c r="Z193" s="5" t="str">
        <f t="shared" si="2"/>
        <v>否</v>
      </c>
      <c r="AA193" s="6" t="s">
        <v>48</v>
      </c>
    </row>
    <row r="194" customHeight="1" spans="1:27">
      <c r="A194" s="1" t="s">
        <v>857</v>
      </c>
      <c r="B194" s="1" t="s">
        <v>858</v>
      </c>
      <c r="C194" s="1" t="s">
        <v>859</v>
      </c>
      <c r="D194" s="1" t="s">
        <v>860</v>
      </c>
      <c r="E194" s="1" t="s">
        <v>861</v>
      </c>
      <c r="F194" s="1" t="s">
        <v>77</v>
      </c>
      <c r="G194" s="1">
        <v>24</v>
      </c>
      <c r="H194" s="1">
        <v>0</v>
      </c>
      <c r="I194" s="1">
        <v>0</v>
      </c>
      <c r="J194" s="1">
        <v>0</v>
      </c>
      <c r="K194" s="1">
        <v>0</v>
      </c>
      <c r="L194" s="1">
        <v>0</v>
      </c>
      <c r="M194" s="1">
        <v>22</v>
      </c>
      <c r="N194" s="1">
        <v>0</v>
      </c>
      <c r="O194" s="1">
        <v>0</v>
      </c>
      <c r="P194" s="1">
        <v>0</v>
      </c>
      <c r="Q194" s="1">
        <v>0</v>
      </c>
      <c r="R194" s="1">
        <v>0</v>
      </c>
      <c r="S194" s="1">
        <v>0</v>
      </c>
      <c r="T194" s="1">
        <v>0</v>
      </c>
      <c r="U194" s="1" t="s">
        <v>35</v>
      </c>
      <c r="V194" s="1" t="s">
        <v>35</v>
      </c>
      <c r="W194" s="1" t="s">
        <v>260</v>
      </c>
      <c r="X194" s="1" t="s">
        <v>35</v>
      </c>
      <c r="Y194" s="4" t="str">
        <f>IFERROR(VLOOKUP(F:F,#REF!,2,0),"需要手动检查")</f>
        <v>需要手动检查</v>
      </c>
      <c r="Z194" s="5" t="str">
        <f t="shared" si="2"/>
        <v>否</v>
      </c>
      <c r="AA194" s="6" t="s">
        <v>38</v>
      </c>
    </row>
    <row r="195" customHeight="1" spans="1:27">
      <c r="A195" s="1" t="s">
        <v>613</v>
      </c>
      <c r="B195" s="1" t="s">
        <v>614</v>
      </c>
      <c r="C195" s="1" t="s">
        <v>71</v>
      </c>
      <c r="D195" s="1" t="s">
        <v>862</v>
      </c>
      <c r="E195" s="1" t="s">
        <v>863</v>
      </c>
      <c r="F195" s="1" t="s">
        <v>77</v>
      </c>
      <c r="G195" s="1">
        <v>9</v>
      </c>
      <c r="H195" s="1">
        <v>1</v>
      </c>
      <c r="I195" s="1">
        <v>0</v>
      </c>
      <c r="J195" s="1">
        <v>0</v>
      </c>
      <c r="K195" s="1">
        <v>0</v>
      </c>
      <c r="L195" s="1">
        <v>0</v>
      </c>
      <c r="M195" s="1">
        <v>11</v>
      </c>
      <c r="N195" s="1">
        <v>0</v>
      </c>
      <c r="O195" s="1">
        <v>0</v>
      </c>
      <c r="P195" s="1">
        <v>0</v>
      </c>
      <c r="Q195" s="1">
        <v>0</v>
      </c>
      <c r="R195" s="1">
        <v>0</v>
      </c>
      <c r="S195" s="1">
        <v>0</v>
      </c>
      <c r="T195" s="1">
        <v>0</v>
      </c>
      <c r="U195" s="1" t="s">
        <v>35</v>
      </c>
      <c r="V195" s="1" t="s">
        <v>35</v>
      </c>
      <c r="W195" s="1" t="s">
        <v>108</v>
      </c>
      <c r="X195" s="1" t="s">
        <v>35</v>
      </c>
      <c r="Y195" s="4" t="str">
        <f>IFERROR(VLOOKUP(F:F,#REF!,2,0),"需要手动检查")</f>
        <v>需要手动检查</v>
      </c>
      <c r="Z195" s="5" t="str">
        <f t="shared" si="2"/>
        <v>否</v>
      </c>
      <c r="AA195" s="6" t="s">
        <v>48</v>
      </c>
    </row>
    <row r="196" customHeight="1" spans="1:27">
      <c r="A196" s="1" t="s">
        <v>864</v>
      </c>
      <c r="B196" s="1" t="s">
        <v>865</v>
      </c>
      <c r="C196" s="1" t="s">
        <v>866</v>
      </c>
      <c r="D196" s="1" t="s">
        <v>867</v>
      </c>
      <c r="E196" s="1" t="s">
        <v>868</v>
      </c>
      <c r="F196" s="1" t="s">
        <v>77</v>
      </c>
      <c r="G196" s="1">
        <v>11</v>
      </c>
      <c r="H196" s="1">
        <v>0</v>
      </c>
      <c r="I196" s="1">
        <v>0</v>
      </c>
      <c r="J196" s="1">
        <v>0</v>
      </c>
      <c r="K196" s="1">
        <v>0</v>
      </c>
      <c r="L196" s="1">
        <v>0</v>
      </c>
      <c r="M196" s="1">
        <v>16</v>
      </c>
      <c r="N196" s="1">
        <v>0</v>
      </c>
      <c r="O196" s="1">
        <v>0</v>
      </c>
      <c r="P196" s="1">
        <v>0</v>
      </c>
      <c r="Q196" s="1">
        <v>0</v>
      </c>
      <c r="R196" s="1">
        <v>0</v>
      </c>
      <c r="S196" s="1">
        <v>0</v>
      </c>
      <c r="T196" s="1">
        <v>0</v>
      </c>
      <c r="U196" s="1" t="s">
        <v>35</v>
      </c>
      <c r="V196" s="1" t="s">
        <v>35</v>
      </c>
      <c r="W196" s="1" t="s">
        <v>35</v>
      </c>
      <c r="X196" s="1" t="s">
        <v>35</v>
      </c>
      <c r="Y196" s="4" t="str">
        <f>IFERROR(VLOOKUP(F:F,#REF!,2,0),"需要手动检查")</f>
        <v>需要手动检查</v>
      </c>
      <c r="Z196" s="5" t="str">
        <f t="shared" si="2"/>
        <v>否</v>
      </c>
      <c r="AA196" s="6" t="s">
        <v>38</v>
      </c>
    </row>
    <row r="197" customHeight="1" spans="1:27">
      <c r="A197" s="1" t="s">
        <v>869</v>
      </c>
      <c r="B197" s="1" t="s">
        <v>870</v>
      </c>
      <c r="C197" s="1" t="s">
        <v>871</v>
      </c>
      <c r="D197" s="1" t="s">
        <v>872</v>
      </c>
      <c r="E197" s="1" t="s">
        <v>873</v>
      </c>
      <c r="F197" s="1" t="s">
        <v>77</v>
      </c>
      <c r="G197" s="1">
        <v>0</v>
      </c>
      <c r="H197" s="1">
        <v>0</v>
      </c>
      <c r="I197" s="1">
        <v>0</v>
      </c>
      <c r="J197" s="1">
        <v>0</v>
      </c>
      <c r="K197" s="1">
        <v>0</v>
      </c>
      <c r="L197" s="1">
        <v>0</v>
      </c>
      <c r="M197" s="1">
        <v>2</v>
      </c>
      <c r="N197" s="1">
        <v>0</v>
      </c>
      <c r="O197" s="1">
        <v>0</v>
      </c>
      <c r="P197" s="1">
        <v>0</v>
      </c>
      <c r="Q197" s="1">
        <v>0</v>
      </c>
      <c r="R197" s="1">
        <v>0</v>
      </c>
      <c r="S197" s="1">
        <v>0</v>
      </c>
      <c r="T197" s="1">
        <v>0</v>
      </c>
      <c r="U197" s="1" t="s">
        <v>35</v>
      </c>
      <c r="V197" s="1" t="s">
        <v>35</v>
      </c>
      <c r="W197" s="1" t="s">
        <v>35</v>
      </c>
      <c r="X197" s="1" t="s">
        <v>35</v>
      </c>
      <c r="Y197" s="4" t="str">
        <f>IFERROR(VLOOKUP(F:F,#REF!,2,0),"需要手动检查")</f>
        <v>需要手动检查</v>
      </c>
      <c r="Z197" s="5" t="str">
        <f t="shared" ref="Z197:Z260" si="3">IF(R197&gt;0,"是","否")</f>
        <v>否</v>
      </c>
      <c r="AA197" s="6" t="s">
        <v>48</v>
      </c>
    </row>
    <row r="198" customHeight="1" spans="1:27">
      <c r="A198" s="1" t="s">
        <v>874</v>
      </c>
      <c r="B198" s="1" t="s">
        <v>875</v>
      </c>
      <c r="C198" s="1" t="s">
        <v>876</v>
      </c>
      <c r="D198" s="1" t="s">
        <v>877</v>
      </c>
      <c r="E198" s="1" t="s">
        <v>878</v>
      </c>
      <c r="F198" s="1" t="s">
        <v>77</v>
      </c>
      <c r="G198" s="1">
        <v>15</v>
      </c>
      <c r="H198" s="1">
        <v>0</v>
      </c>
      <c r="I198" s="1">
        <v>0</v>
      </c>
      <c r="J198" s="1">
        <v>0</v>
      </c>
      <c r="K198" s="1">
        <v>0</v>
      </c>
      <c r="L198" s="1">
        <v>0</v>
      </c>
      <c r="M198" s="1">
        <v>22</v>
      </c>
      <c r="N198" s="1">
        <v>0</v>
      </c>
      <c r="O198" s="1">
        <v>0</v>
      </c>
      <c r="P198" s="1">
        <v>0</v>
      </c>
      <c r="Q198" s="1">
        <v>0</v>
      </c>
      <c r="R198" s="1">
        <v>0</v>
      </c>
      <c r="S198" s="1">
        <v>0</v>
      </c>
      <c r="T198" s="1">
        <v>0</v>
      </c>
      <c r="U198" s="1" t="s">
        <v>35</v>
      </c>
      <c r="V198" s="1" t="s">
        <v>35</v>
      </c>
      <c r="W198" s="1" t="s">
        <v>35</v>
      </c>
      <c r="X198" s="1" t="s">
        <v>35</v>
      </c>
      <c r="Y198" s="4" t="str">
        <f>IFERROR(VLOOKUP(F:F,#REF!,2,0),"需要手动检查")</f>
        <v>需要手动检查</v>
      </c>
      <c r="Z198" s="5" t="str">
        <f t="shared" si="3"/>
        <v>否</v>
      </c>
      <c r="AA198" s="6" t="s">
        <v>38</v>
      </c>
    </row>
    <row r="199" customHeight="1" spans="1:27">
      <c r="A199" s="1" t="s">
        <v>879</v>
      </c>
      <c r="B199" s="1" t="s">
        <v>880</v>
      </c>
      <c r="C199" s="1" t="s">
        <v>881</v>
      </c>
      <c r="D199" s="1" t="s">
        <v>882</v>
      </c>
      <c r="E199" s="1" t="s">
        <v>883</v>
      </c>
      <c r="F199" s="1" t="s">
        <v>71</v>
      </c>
      <c r="G199" s="1">
        <v>0</v>
      </c>
      <c r="H199" s="1">
        <v>0</v>
      </c>
      <c r="I199" s="1">
        <v>0</v>
      </c>
      <c r="J199" s="1">
        <v>0</v>
      </c>
      <c r="K199" s="1">
        <v>0</v>
      </c>
      <c r="L199" s="1">
        <v>0</v>
      </c>
      <c r="M199" s="1">
        <v>17</v>
      </c>
      <c r="N199" s="1">
        <v>1</v>
      </c>
      <c r="O199" s="1">
        <v>0</v>
      </c>
      <c r="P199" s="1">
        <v>0</v>
      </c>
      <c r="Q199" s="1">
        <v>0</v>
      </c>
      <c r="R199" s="1">
        <v>0</v>
      </c>
      <c r="S199" s="1">
        <v>0</v>
      </c>
      <c r="T199" s="1">
        <v>0</v>
      </c>
      <c r="U199" s="1" t="s">
        <v>35</v>
      </c>
      <c r="V199" s="1" t="s">
        <v>35</v>
      </c>
      <c r="W199" s="1" t="s">
        <v>35</v>
      </c>
      <c r="X199" s="1" t="s">
        <v>35</v>
      </c>
      <c r="Y199" s="4" t="str">
        <f>IFERROR(VLOOKUP(F:F,#REF!,2,0),"需要手动检查")</f>
        <v>需要手动检查</v>
      </c>
      <c r="Z199" s="5" t="str">
        <f t="shared" si="3"/>
        <v>否</v>
      </c>
      <c r="AA199" s="6" t="s">
        <v>48</v>
      </c>
    </row>
    <row r="200" customHeight="1" spans="1:27">
      <c r="A200" s="1" t="s">
        <v>884</v>
      </c>
      <c r="B200" s="1" t="s">
        <v>885</v>
      </c>
      <c r="C200" s="1" t="s">
        <v>886</v>
      </c>
      <c r="D200" s="1" t="s">
        <v>887</v>
      </c>
      <c r="E200" s="1" t="s">
        <v>888</v>
      </c>
      <c r="F200" s="1" t="s">
        <v>77</v>
      </c>
      <c r="G200" s="1">
        <v>6</v>
      </c>
      <c r="H200" s="1">
        <v>0</v>
      </c>
      <c r="I200" s="1">
        <v>0</v>
      </c>
      <c r="J200" s="1">
        <v>0</v>
      </c>
      <c r="K200" s="1">
        <v>0</v>
      </c>
      <c r="L200" s="1">
        <v>0</v>
      </c>
      <c r="M200" s="1">
        <v>0</v>
      </c>
      <c r="N200" s="1">
        <v>0</v>
      </c>
      <c r="O200" s="1">
        <v>0</v>
      </c>
      <c r="P200" s="1">
        <v>0</v>
      </c>
      <c r="Q200" s="1">
        <v>0</v>
      </c>
      <c r="R200" s="1">
        <v>0</v>
      </c>
      <c r="S200" s="1">
        <v>0</v>
      </c>
      <c r="T200" s="1">
        <v>0</v>
      </c>
      <c r="U200" s="1" t="s">
        <v>35</v>
      </c>
      <c r="V200" s="1" t="s">
        <v>35</v>
      </c>
      <c r="W200" s="1" t="s">
        <v>462</v>
      </c>
      <c r="X200" s="1" t="s">
        <v>35</v>
      </c>
      <c r="Y200" s="4" t="str">
        <f>IFERROR(VLOOKUP(F:F,#REF!,2,0),"需要手动检查")</f>
        <v>需要手动检查</v>
      </c>
      <c r="Z200" s="5" t="str">
        <f t="shared" si="3"/>
        <v>否</v>
      </c>
      <c r="AA200" s="6" t="s">
        <v>38</v>
      </c>
    </row>
    <row r="201" customHeight="1" spans="1:27">
      <c r="A201" s="1" t="s">
        <v>889</v>
      </c>
      <c r="B201" s="1" t="s">
        <v>890</v>
      </c>
      <c r="C201" s="1" t="s">
        <v>891</v>
      </c>
      <c r="D201" s="1" t="s">
        <v>892</v>
      </c>
      <c r="E201" s="1" t="s">
        <v>893</v>
      </c>
      <c r="F201" s="1" t="s">
        <v>77</v>
      </c>
      <c r="G201" s="1">
        <v>10</v>
      </c>
      <c r="H201" s="1">
        <v>0</v>
      </c>
      <c r="I201" s="1">
        <v>0</v>
      </c>
      <c r="J201" s="1">
        <v>0</v>
      </c>
      <c r="K201" s="1">
        <v>0</v>
      </c>
      <c r="L201" s="1">
        <v>0</v>
      </c>
      <c r="M201" s="1">
        <v>17</v>
      </c>
      <c r="N201" s="1">
        <v>0</v>
      </c>
      <c r="O201" s="1">
        <v>0</v>
      </c>
      <c r="P201" s="1">
        <v>0</v>
      </c>
      <c r="Q201" s="1">
        <v>0</v>
      </c>
      <c r="R201" s="1">
        <v>0</v>
      </c>
      <c r="S201" s="1">
        <v>0</v>
      </c>
      <c r="T201" s="1">
        <v>0</v>
      </c>
      <c r="U201" s="1" t="s">
        <v>35</v>
      </c>
      <c r="V201" s="1" t="s">
        <v>35</v>
      </c>
      <c r="W201" s="1" t="s">
        <v>35</v>
      </c>
      <c r="X201" s="1" t="s">
        <v>35</v>
      </c>
      <c r="Y201" s="4" t="str">
        <f>IFERROR(VLOOKUP(F:F,#REF!,2,0),"需要手动检查")</f>
        <v>需要手动检查</v>
      </c>
      <c r="Z201" s="5" t="str">
        <f t="shared" si="3"/>
        <v>否</v>
      </c>
      <c r="AA201" s="6" t="s">
        <v>48</v>
      </c>
    </row>
    <row r="202" customHeight="1" spans="1:27">
      <c r="A202" s="1" t="s">
        <v>894</v>
      </c>
      <c r="B202" s="1" t="s">
        <v>895</v>
      </c>
      <c r="C202" s="1" t="s">
        <v>896</v>
      </c>
      <c r="D202" s="1" t="s">
        <v>897</v>
      </c>
      <c r="E202" s="1" t="s">
        <v>898</v>
      </c>
      <c r="F202" s="1" t="s">
        <v>77</v>
      </c>
      <c r="G202" s="1">
        <v>3</v>
      </c>
      <c r="H202" s="1">
        <v>0</v>
      </c>
      <c r="I202" s="1">
        <v>0</v>
      </c>
      <c r="J202" s="1">
        <v>0</v>
      </c>
      <c r="K202" s="1">
        <v>0</v>
      </c>
      <c r="L202" s="1">
        <v>0</v>
      </c>
      <c r="M202" s="1">
        <v>4</v>
      </c>
      <c r="N202" s="1">
        <v>0</v>
      </c>
      <c r="O202" s="1">
        <v>0</v>
      </c>
      <c r="P202" s="1">
        <v>0</v>
      </c>
      <c r="Q202" s="1">
        <v>0</v>
      </c>
      <c r="R202" s="1">
        <v>0</v>
      </c>
      <c r="S202" s="1">
        <v>0</v>
      </c>
      <c r="T202" s="1">
        <v>0</v>
      </c>
      <c r="U202" s="1" t="s">
        <v>35</v>
      </c>
      <c r="V202" s="1" t="s">
        <v>35</v>
      </c>
      <c r="W202" s="1" t="s">
        <v>35</v>
      </c>
      <c r="X202" s="1" t="s">
        <v>35</v>
      </c>
      <c r="Y202" s="4" t="str">
        <f>IFERROR(VLOOKUP(F:F,#REF!,2,0),"需要手动检查")</f>
        <v>需要手动检查</v>
      </c>
      <c r="Z202" s="5" t="str">
        <f t="shared" si="3"/>
        <v>否</v>
      </c>
      <c r="AA202" s="6" t="s">
        <v>38</v>
      </c>
    </row>
    <row r="203" customHeight="1" spans="1:27">
      <c r="A203" s="1" t="s">
        <v>899</v>
      </c>
      <c r="B203" s="1" t="s">
        <v>900</v>
      </c>
      <c r="C203" s="1" t="s">
        <v>901</v>
      </c>
      <c r="D203" s="1" t="s">
        <v>902</v>
      </c>
      <c r="E203" s="1" t="s">
        <v>903</v>
      </c>
      <c r="F203" s="1" t="s">
        <v>77</v>
      </c>
      <c r="G203" s="1">
        <v>2</v>
      </c>
      <c r="H203" s="1">
        <v>0</v>
      </c>
      <c r="I203" s="1">
        <v>0</v>
      </c>
      <c r="J203" s="1">
        <v>0</v>
      </c>
      <c r="K203" s="1">
        <v>0</v>
      </c>
      <c r="L203" s="1">
        <v>0</v>
      </c>
      <c r="M203" s="1">
        <v>4</v>
      </c>
      <c r="N203" s="1">
        <v>0</v>
      </c>
      <c r="O203" s="1">
        <v>0</v>
      </c>
      <c r="P203" s="1">
        <v>0</v>
      </c>
      <c r="Q203" s="1">
        <v>0</v>
      </c>
      <c r="R203" s="1">
        <v>0</v>
      </c>
      <c r="S203" s="1">
        <v>0</v>
      </c>
      <c r="T203" s="1">
        <v>0</v>
      </c>
      <c r="U203" s="1" t="s">
        <v>35</v>
      </c>
      <c r="V203" s="1" t="s">
        <v>35</v>
      </c>
      <c r="W203" s="1" t="s">
        <v>35</v>
      </c>
      <c r="X203" s="1" t="s">
        <v>35</v>
      </c>
      <c r="Y203" s="4" t="str">
        <f>IFERROR(VLOOKUP(F:F,#REF!,2,0),"需要手动检查")</f>
        <v>需要手动检查</v>
      </c>
      <c r="Z203" s="5" t="str">
        <f t="shared" si="3"/>
        <v>否</v>
      </c>
      <c r="AA203" s="6" t="s">
        <v>48</v>
      </c>
    </row>
    <row r="204" customHeight="1" spans="1:27">
      <c r="A204" s="1" t="s">
        <v>904</v>
      </c>
      <c r="B204" s="1" t="s">
        <v>905</v>
      </c>
      <c r="C204" s="1" t="s">
        <v>906</v>
      </c>
      <c r="D204" s="1" t="s">
        <v>907</v>
      </c>
      <c r="E204" s="1" t="s">
        <v>908</v>
      </c>
      <c r="F204" s="1" t="s">
        <v>77</v>
      </c>
      <c r="G204" s="1">
        <v>18</v>
      </c>
      <c r="H204" s="1">
        <v>0</v>
      </c>
      <c r="I204" s="1">
        <v>0</v>
      </c>
      <c r="J204" s="1">
        <v>0</v>
      </c>
      <c r="K204" s="1">
        <v>0</v>
      </c>
      <c r="L204" s="1">
        <v>0</v>
      </c>
      <c r="M204" s="1">
        <v>15</v>
      </c>
      <c r="N204" s="1">
        <v>0</v>
      </c>
      <c r="O204" s="1">
        <v>0</v>
      </c>
      <c r="P204" s="1">
        <v>0</v>
      </c>
      <c r="Q204" s="1">
        <v>0</v>
      </c>
      <c r="R204" s="1">
        <v>0</v>
      </c>
      <c r="S204" s="1">
        <v>0</v>
      </c>
      <c r="T204" s="1">
        <v>0</v>
      </c>
      <c r="U204" s="1" t="s">
        <v>35</v>
      </c>
      <c r="V204" s="1" t="s">
        <v>35</v>
      </c>
      <c r="W204" s="1" t="s">
        <v>35</v>
      </c>
      <c r="X204" s="1" t="s">
        <v>35</v>
      </c>
      <c r="Y204" s="4" t="str">
        <f>IFERROR(VLOOKUP(F:F,#REF!,2,0),"需要手动检查")</f>
        <v>需要手动检查</v>
      </c>
      <c r="Z204" s="5" t="str">
        <f t="shared" si="3"/>
        <v>否</v>
      </c>
      <c r="AA204" s="6" t="s">
        <v>38</v>
      </c>
    </row>
    <row r="205" customHeight="1" spans="1:27">
      <c r="A205" s="1" t="s">
        <v>909</v>
      </c>
      <c r="B205" s="1" t="s">
        <v>910</v>
      </c>
      <c r="C205" s="1" t="s">
        <v>911</v>
      </c>
      <c r="D205" s="1" t="s">
        <v>912</v>
      </c>
      <c r="E205" s="1" t="s">
        <v>913</v>
      </c>
      <c r="F205" s="1" t="s">
        <v>77</v>
      </c>
      <c r="G205" s="1">
        <v>12</v>
      </c>
      <c r="H205" s="1">
        <v>0</v>
      </c>
      <c r="I205" s="1">
        <v>0</v>
      </c>
      <c r="J205" s="1">
        <v>0</v>
      </c>
      <c r="K205" s="1">
        <v>0</v>
      </c>
      <c r="L205" s="1">
        <v>0</v>
      </c>
      <c r="M205" s="1">
        <v>18</v>
      </c>
      <c r="N205" s="1">
        <v>1</v>
      </c>
      <c r="O205" s="1">
        <v>0</v>
      </c>
      <c r="P205" s="1">
        <v>0</v>
      </c>
      <c r="Q205" s="1">
        <v>0</v>
      </c>
      <c r="R205" s="1">
        <v>0</v>
      </c>
      <c r="S205" s="1">
        <v>0</v>
      </c>
      <c r="T205" s="1">
        <v>0</v>
      </c>
      <c r="U205" s="1" t="s">
        <v>592</v>
      </c>
      <c r="V205" s="1" t="s">
        <v>35</v>
      </c>
      <c r="W205" s="1" t="s">
        <v>35</v>
      </c>
      <c r="X205" s="1" t="s">
        <v>35</v>
      </c>
      <c r="Y205" s="4" t="str">
        <f>IFERROR(VLOOKUP(F:F,#REF!,2,0),"需要手动检查")</f>
        <v>需要手动检查</v>
      </c>
      <c r="Z205" s="5" t="str">
        <f t="shared" si="3"/>
        <v>否</v>
      </c>
      <c r="AA205" s="6" t="s">
        <v>48</v>
      </c>
    </row>
    <row r="206" customHeight="1" spans="1:27">
      <c r="A206" s="1" t="s">
        <v>914</v>
      </c>
      <c r="B206" s="1" t="s">
        <v>915</v>
      </c>
      <c r="C206" s="1" t="s">
        <v>916</v>
      </c>
      <c r="D206" s="1" t="s">
        <v>917</v>
      </c>
      <c r="E206" s="1" t="s">
        <v>918</v>
      </c>
      <c r="F206" s="1" t="s">
        <v>77</v>
      </c>
      <c r="G206" s="1">
        <v>20</v>
      </c>
      <c r="H206" s="1">
        <v>0</v>
      </c>
      <c r="I206" s="1">
        <v>0</v>
      </c>
      <c r="J206" s="1">
        <v>0</v>
      </c>
      <c r="K206" s="1">
        <v>0</v>
      </c>
      <c r="L206" s="1">
        <v>0</v>
      </c>
      <c r="M206" s="1">
        <v>25</v>
      </c>
      <c r="N206" s="1">
        <v>0</v>
      </c>
      <c r="O206" s="1">
        <v>0</v>
      </c>
      <c r="P206" s="1">
        <v>0</v>
      </c>
      <c r="Q206" s="1">
        <v>0</v>
      </c>
      <c r="R206" s="1">
        <v>0</v>
      </c>
      <c r="S206" s="1">
        <v>0</v>
      </c>
      <c r="T206" s="1">
        <v>0</v>
      </c>
      <c r="U206" s="1" t="s">
        <v>35</v>
      </c>
      <c r="V206" s="1" t="s">
        <v>35</v>
      </c>
      <c r="W206" s="1" t="s">
        <v>35</v>
      </c>
      <c r="X206" s="1" t="s">
        <v>35</v>
      </c>
      <c r="Y206" s="4" t="str">
        <f>IFERROR(VLOOKUP(F:F,#REF!,2,0),"需要手动检查")</f>
        <v>需要手动检查</v>
      </c>
      <c r="Z206" s="5" t="str">
        <f t="shared" si="3"/>
        <v>否</v>
      </c>
      <c r="AA206" s="6" t="s">
        <v>38</v>
      </c>
    </row>
    <row r="207" customHeight="1" spans="1:27">
      <c r="A207" s="1" t="s">
        <v>919</v>
      </c>
      <c r="B207" s="1" t="s">
        <v>920</v>
      </c>
      <c r="C207" s="1" t="s">
        <v>921</v>
      </c>
      <c r="D207" s="1" t="s">
        <v>922</v>
      </c>
      <c r="E207" s="1" t="s">
        <v>923</v>
      </c>
      <c r="F207" s="1" t="s">
        <v>71</v>
      </c>
      <c r="G207" s="1">
        <v>0</v>
      </c>
      <c r="H207" s="1">
        <v>0</v>
      </c>
      <c r="I207" s="1">
        <v>0</v>
      </c>
      <c r="J207" s="1">
        <v>0</v>
      </c>
      <c r="K207" s="1">
        <v>0</v>
      </c>
      <c r="L207" s="1">
        <v>0</v>
      </c>
      <c r="M207" s="1">
        <v>3</v>
      </c>
      <c r="N207" s="1">
        <v>0</v>
      </c>
      <c r="O207" s="1">
        <v>0</v>
      </c>
      <c r="P207" s="1">
        <v>0</v>
      </c>
      <c r="Q207" s="1">
        <v>0</v>
      </c>
      <c r="R207" s="1">
        <v>0</v>
      </c>
      <c r="S207" s="1">
        <v>0</v>
      </c>
      <c r="T207" s="1">
        <v>0</v>
      </c>
      <c r="U207" s="1" t="s">
        <v>35</v>
      </c>
      <c r="V207" s="1" t="s">
        <v>35</v>
      </c>
      <c r="W207" s="1" t="s">
        <v>35</v>
      </c>
      <c r="X207" s="1" t="s">
        <v>35</v>
      </c>
      <c r="Y207" s="4" t="str">
        <f>IFERROR(VLOOKUP(F:F,#REF!,2,0),"需要手动检查")</f>
        <v>需要手动检查</v>
      </c>
      <c r="Z207" s="5" t="str">
        <f t="shared" si="3"/>
        <v>否</v>
      </c>
      <c r="AA207" s="6" t="s">
        <v>48</v>
      </c>
    </row>
    <row r="208" customHeight="1" spans="1:27">
      <c r="A208" s="1" t="s">
        <v>924</v>
      </c>
      <c r="B208" s="1" t="s">
        <v>925</v>
      </c>
      <c r="C208" s="1" t="s">
        <v>926</v>
      </c>
      <c r="D208" s="1" t="s">
        <v>927</v>
      </c>
      <c r="E208" s="1" t="s">
        <v>928</v>
      </c>
      <c r="F208" s="1" t="s">
        <v>54</v>
      </c>
      <c r="G208" s="1">
        <v>191</v>
      </c>
      <c r="H208" s="1">
        <v>0</v>
      </c>
      <c r="I208" s="1">
        <v>0</v>
      </c>
      <c r="J208" s="1">
        <v>0</v>
      </c>
      <c r="K208" s="1">
        <v>0</v>
      </c>
      <c r="L208" s="1">
        <v>0</v>
      </c>
      <c r="M208" s="1">
        <v>214</v>
      </c>
      <c r="N208" s="1">
        <v>4</v>
      </c>
      <c r="O208" s="1">
        <v>0</v>
      </c>
      <c r="P208" s="1">
        <v>0</v>
      </c>
      <c r="Q208" s="1">
        <v>0</v>
      </c>
      <c r="R208" s="1">
        <v>0</v>
      </c>
      <c r="S208" s="1">
        <v>0</v>
      </c>
      <c r="T208" s="1">
        <v>0</v>
      </c>
      <c r="U208" s="1" t="s">
        <v>929</v>
      </c>
      <c r="V208" s="1" t="s">
        <v>35</v>
      </c>
      <c r="W208" s="1" t="s">
        <v>930</v>
      </c>
      <c r="X208" s="1" t="s">
        <v>35</v>
      </c>
      <c r="Y208" s="4" t="str">
        <f>IFERROR(VLOOKUP(F:F,#REF!,2,0),"需要手动检查")</f>
        <v>需要手动检查</v>
      </c>
      <c r="Z208" s="5" t="str">
        <f t="shared" si="3"/>
        <v>否</v>
      </c>
      <c r="AA208" s="6" t="s">
        <v>38</v>
      </c>
    </row>
    <row r="209" customHeight="1" spans="1:27">
      <c r="A209" s="1" t="s">
        <v>931</v>
      </c>
      <c r="B209" s="1" t="s">
        <v>932</v>
      </c>
      <c r="C209" s="1" t="s">
        <v>71</v>
      </c>
      <c r="D209" s="1" t="s">
        <v>933</v>
      </c>
      <c r="E209" s="1" t="s">
        <v>934</v>
      </c>
      <c r="F209" s="1" t="s">
        <v>54</v>
      </c>
      <c r="G209" s="1">
        <v>39</v>
      </c>
      <c r="H209" s="1">
        <v>0</v>
      </c>
      <c r="I209" s="1">
        <v>0</v>
      </c>
      <c r="J209" s="1">
        <v>0</v>
      </c>
      <c r="K209" s="1">
        <v>0</v>
      </c>
      <c r="L209" s="1">
        <v>0</v>
      </c>
      <c r="M209" s="1">
        <v>39</v>
      </c>
      <c r="N209" s="1">
        <v>2</v>
      </c>
      <c r="O209" s="1">
        <v>0</v>
      </c>
      <c r="P209" s="1">
        <v>0</v>
      </c>
      <c r="Q209" s="1">
        <v>0</v>
      </c>
      <c r="R209" s="1">
        <v>0</v>
      </c>
      <c r="S209" s="1">
        <v>0</v>
      </c>
      <c r="T209" s="1">
        <v>0</v>
      </c>
      <c r="U209" s="1" t="s">
        <v>935</v>
      </c>
      <c r="V209" s="1" t="s">
        <v>35</v>
      </c>
      <c r="W209" s="1" t="s">
        <v>936</v>
      </c>
      <c r="X209" s="1" t="s">
        <v>35</v>
      </c>
      <c r="Y209" s="4" t="str">
        <f>IFERROR(VLOOKUP(F:F,#REF!,2,0),"需要手动检查")</f>
        <v>需要手动检查</v>
      </c>
      <c r="Z209" s="5" t="str">
        <f t="shared" si="3"/>
        <v>否</v>
      </c>
      <c r="AA209" s="6" t="s">
        <v>48</v>
      </c>
    </row>
    <row r="210" customHeight="1" spans="1:27">
      <c r="A210" s="1" t="s">
        <v>937</v>
      </c>
      <c r="B210" s="1" t="s">
        <v>938</v>
      </c>
      <c r="C210" s="1" t="s">
        <v>939</v>
      </c>
      <c r="D210" s="1" t="s">
        <v>940</v>
      </c>
      <c r="E210" s="1" t="s">
        <v>941</v>
      </c>
      <c r="F210" s="1" t="s">
        <v>54</v>
      </c>
      <c r="G210" s="1">
        <v>110</v>
      </c>
      <c r="H210" s="1">
        <v>0</v>
      </c>
      <c r="I210" s="1">
        <v>0</v>
      </c>
      <c r="J210" s="1">
        <v>0</v>
      </c>
      <c r="K210" s="1">
        <v>0</v>
      </c>
      <c r="L210" s="1">
        <v>0</v>
      </c>
      <c r="M210" s="1">
        <v>244</v>
      </c>
      <c r="N210" s="1">
        <v>9</v>
      </c>
      <c r="O210" s="1">
        <v>0</v>
      </c>
      <c r="P210" s="1">
        <v>0</v>
      </c>
      <c r="Q210" s="1">
        <v>0</v>
      </c>
      <c r="R210" s="1">
        <v>0</v>
      </c>
      <c r="S210" s="1">
        <v>0</v>
      </c>
      <c r="T210" s="1">
        <v>64.73</v>
      </c>
      <c r="U210" s="1" t="s">
        <v>942</v>
      </c>
      <c r="V210" s="1" t="s">
        <v>35</v>
      </c>
      <c r="W210" s="1" t="s">
        <v>943</v>
      </c>
      <c r="X210" s="1" t="s">
        <v>35</v>
      </c>
      <c r="Y210" s="4" t="str">
        <f>IFERROR(VLOOKUP(F:F,#REF!,2,0),"需要手动检查")</f>
        <v>需要手动检查</v>
      </c>
      <c r="Z210" s="5" t="str">
        <f t="shared" si="3"/>
        <v>否</v>
      </c>
      <c r="AA210" s="6" t="s">
        <v>38</v>
      </c>
    </row>
    <row r="211" customHeight="1" spans="1:27">
      <c r="A211" s="1" t="s">
        <v>944</v>
      </c>
      <c r="B211" s="1" t="s">
        <v>945</v>
      </c>
      <c r="C211" s="1" t="s">
        <v>946</v>
      </c>
      <c r="D211" s="1" t="s">
        <v>947</v>
      </c>
      <c r="E211" s="1" t="s">
        <v>948</v>
      </c>
      <c r="F211" s="1" t="s">
        <v>54</v>
      </c>
      <c r="G211" s="1">
        <v>2</v>
      </c>
      <c r="H211" s="1">
        <v>0</v>
      </c>
      <c r="I211" s="1">
        <v>0</v>
      </c>
      <c r="J211" s="1">
        <v>0</v>
      </c>
      <c r="K211" s="1">
        <v>0</v>
      </c>
      <c r="L211" s="1">
        <v>0</v>
      </c>
      <c r="M211" s="1">
        <v>2</v>
      </c>
      <c r="N211" s="1">
        <v>0</v>
      </c>
      <c r="O211" s="1">
        <v>0</v>
      </c>
      <c r="P211" s="1">
        <v>0</v>
      </c>
      <c r="Q211" s="1">
        <v>0</v>
      </c>
      <c r="R211" s="1">
        <v>0</v>
      </c>
      <c r="S211" s="1">
        <v>0</v>
      </c>
      <c r="T211" s="1">
        <v>0</v>
      </c>
      <c r="U211" s="1" t="s">
        <v>35</v>
      </c>
      <c r="V211" s="1" t="s">
        <v>35</v>
      </c>
      <c r="W211" s="1" t="s">
        <v>35</v>
      </c>
      <c r="X211" s="1" t="s">
        <v>35</v>
      </c>
      <c r="Y211" s="4" t="str">
        <f>IFERROR(VLOOKUP(F:F,#REF!,2,0),"需要手动检查")</f>
        <v>需要手动检查</v>
      </c>
      <c r="Z211" s="5" t="str">
        <f t="shared" si="3"/>
        <v>否</v>
      </c>
      <c r="AA211" s="6" t="s">
        <v>48</v>
      </c>
    </row>
    <row r="212" customHeight="1" spans="1:27">
      <c r="A212" s="1" t="s">
        <v>949</v>
      </c>
      <c r="B212" s="1" t="s">
        <v>950</v>
      </c>
      <c r="C212" s="1" t="s">
        <v>951</v>
      </c>
      <c r="D212" s="1" t="s">
        <v>952</v>
      </c>
      <c r="E212" s="1" t="s">
        <v>953</v>
      </c>
      <c r="F212" s="1" t="s">
        <v>54</v>
      </c>
      <c r="G212" s="1">
        <v>2</v>
      </c>
      <c r="H212" s="1">
        <v>0</v>
      </c>
      <c r="I212" s="1">
        <v>0</v>
      </c>
      <c r="J212" s="1">
        <v>0</v>
      </c>
      <c r="K212" s="1">
        <v>0</v>
      </c>
      <c r="L212" s="1">
        <v>0</v>
      </c>
      <c r="M212" s="1">
        <v>0</v>
      </c>
      <c r="N212" s="1">
        <v>0</v>
      </c>
      <c r="O212" s="1">
        <v>0</v>
      </c>
      <c r="P212" s="1">
        <v>0</v>
      </c>
      <c r="Q212" s="1">
        <v>0</v>
      </c>
      <c r="R212" s="1">
        <v>0</v>
      </c>
      <c r="S212" s="1">
        <v>0</v>
      </c>
      <c r="T212" s="1">
        <v>0</v>
      </c>
      <c r="U212" s="1" t="s">
        <v>35</v>
      </c>
      <c r="V212" s="1" t="s">
        <v>35</v>
      </c>
      <c r="W212" s="1" t="s">
        <v>35</v>
      </c>
      <c r="X212" s="1" t="s">
        <v>35</v>
      </c>
      <c r="Y212" s="4" t="str">
        <f>IFERROR(VLOOKUP(F:F,#REF!,2,0),"需要手动检查")</f>
        <v>需要手动检查</v>
      </c>
      <c r="Z212" s="5" t="str">
        <f t="shared" si="3"/>
        <v>否</v>
      </c>
      <c r="AA212" s="6" t="s">
        <v>38</v>
      </c>
    </row>
    <row r="213" customHeight="1" spans="1:27">
      <c r="A213" s="1" t="s">
        <v>541</v>
      </c>
      <c r="B213" s="1" t="s">
        <v>542</v>
      </c>
      <c r="C213" s="1" t="s">
        <v>543</v>
      </c>
      <c r="D213" s="1" t="s">
        <v>954</v>
      </c>
      <c r="E213" s="1" t="s">
        <v>955</v>
      </c>
      <c r="F213" s="1" t="s">
        <v>54</v>
      </c>
      <c r="G213" s="1">
        <v>55</v>
      </c>
      <c r="H213" s="1">
        <v>1</v>
      </c>
      <c r="I213" s="1">
        <v>0</v>
      </c>
      <c r="J213" s="1">
        <v>0</v>
      </c>
      <c r="K213" s="1">
        <v>0</v>
      </c>
      <c r="L213" s="1">
        <v>0</v>
      </c>
      <c r="M213" s="1">
        <v>58</v>
      </c>
      <c r="N213" s="1">
        <v>2</v>
      </c>
      <c r="O213" s="1">
        <v>0</v>
      </c>
      <c r="P213" s="1">
        <v>0</v>
      </c>
      <c r="Q213" s="1">
        <v>0</v>
      </c>
      <c r="R213" s="1">
        <v>0</v>
      </c>
      <c r="S213" s="1">
        <v>0</v>
      </c>
      <c r="T213" s="1">
        <v>0</v>
      </c>
      <c r="U213" s="1" t="s">
        <v>956</v>
      </c>
      <c r="V213" s="1" t="s">
        <v>35</v>
      </c>
      <c r="W213" s="1" t="s">
        <v>957</v>
      </c>
      <c r="X213" s="1" t="s">
        <v>35</v>
      </c>
      <c r="Y213" s="4" t="str">
        <f>IFERROR(VLOOKUP(F:F,#REF!,2,0),"需要手动检查")</f>
        <v>需要手动检查</v>
      </c>
      <c r="Z213" s="5" t="str">
        <f t="shared" si="3"/>
        <v>否</v>
      </c>
      <c r="AA213" s="6" t="s">
        <v>48</v>
      </c>
    </row>
    <row r="214" customHeight="1" spans="1:27">
      <c r="A214" s="1" t="s">
        <v>958</v>
      </c>
      <c r="B214" s="1" t="s">
        <v>959</v>
      </c>
      <c r="C214" s="1" t="s">
        <v>960</v>
      </c>
      <c r="D214" s="1" t="s">
        <v>961</v>
      </c>
      <c r="E214" s="1" t="s">
        <v>962</v>
      </c>
      <c r="F214" s="1" t="s">
        <v>71</v>
      </c>
      <c r="G214" s="1">
        <v>0</v>
      </c>
      <c r="H214" s="1">
        <v>0</v>
      </c>
      <c r="I214" s="1">
        <v>0</v>
      </c>
      <c r="J214" s="1">
        <v>0</v>
      </c>
      <c r="K214" s="1">
        <v>0</v>
      </c>
      <c r="L214" s="1">
        <v>0</v>
      </c>
      <c r="M214" s="1">
        <v>214</v>
      </c>
      <c r="N214" s="1">
        <v>2</v>
      </c>
      <c r="O214" s="1">
        <v>0</v>
      </c>
      <c r="P214" s="1">
        <v>0</v>
      </c>
      <c r="Q214" s="1">
        <v>0</v>
      </c>
      <c r="R214" s="1">
        <v>0</v>
      </c>
      <c r="S214" s="1">
        <v>0</v>
      </c>
      <c r="T214" s="1">
        <v>0</v>
      </c>
      <c r="U214" s="1" t="s">
        <v>35</v>
      </c>
      <c r="V214" s="1" t="s">
        <v>35</v>
      </c>
      <c r="W214" s="1" t="s">
        <v>35</v>
      </c>
      <c r="X214" s="1" t="s">
        <v>35</v>
      </c>
      <c r="Y214" s="4" t="str">
        <f>IFERROR(VLOOKUP(F:F,#REF!,2,0),"需要手动检查")</f>
        <v>需要手动检查</v>
      </c>
      <c r="Z214" s="5" t="str">
        <f t="shared" si="3"/>
        <v>否</v>
      </c>
      <c r="AA214" s="6" t="s">
        <v>38</v>
      </c>
    </row>
    <row r="215" customHeight="1" spans="1:27">
      <c r="A215" s="1" t="s">
        <v>963</v>
      </c>
      <c r="B215" s="1" t="s">
        <v>964</v>
      </c>
      <c r="C215" s="1" t="s">
        <v>965</v>
      </c>
      <c r="D215" s="1" t="s">
        <v>966</v>
      </c>
      <c r="E215" s="1" t="s">
        <v>967</v>
      </c>
      <c r="F215" s="1" t="s">
        <v>44</v>
      </c>
      <c r="G215" s="1">
        <v>442</v>
      </c>
      <c r="H215" s="1">
        <v>1</v>
      </c>
      <c r="I215" s="1">
        <v>0</v>
      </c>
      <c r="J215" s="1">
        <v>0</v>
      </c>
      <c r="K215" s="1">
        <v>1</v>
      </c>
      <c r="L215" s="1">
        <v>0</v>
      </c>
      <c r="M215" s="1">
        <v>1231</v>
      </c>
      <c r="N215" s="1">
        <v>42</v>
      </c>
      <c r="O215" s="1">
        <v>0</v>
      </c>
      <c r="P215" s="1">
        <v>0</v>
      </c>
      <c r="Q215" s="1">
        <v>0</v>
      </c>
      <c r="R215" s="1">
        <v>0</v>
      </c>
      <c r="S215" s="1">
        <v>0</v>
      </c>
      <c r="T215" s="1">
        <v>78.37</v>
      </c>
      <c r="U215" s="1" t="s">
        <v>968</v>
      </c>
      <c r="V215" s="1" t="s">
        <v>35</v>
      </c>
      <c r="W215" s="1" t="s">
        <v>969</v>
      </c>
      <c r="X215" s="1" t="s">
        <v>35</v>
      </c>
      <c r="Y215" s="4" t="str">
        <f>IFERROR(VLOOKUP(F:F,#REF!,2,0),"需要手动检查")</f>
        <v>需要手动检查</v>
      </c>
      <c r="Z215" s="5" t="str">
        <f t="shared" si="3"/>
        <v>否</v>
      </c>
      <c r="AA215" s="6" t="s">
        <v>48</v>
      </c>
    </row>
    <row r="216" customHeight="1" spans="1:27">
      <c r="A216" s="1" t="s">
        <v>970</v>
      </c>
      <c r="B216" s="1" t="s">
        <v>971</v>
      </c>
      <c r="C216" s="1" t="s">
        <v>972</v>
      </c>
      <c r="D216" s="1" t="s">
        <v>973</v>
      </c>
      <c r="E216" s="1" t="s">
        <v>974</v>
      </c>
      <c r="F216" s="1" t="s">
        <v>71</v>
      </c>
      <c r="G216" s="1">
        <v>0</v>
      </c>
      <c r="H216" s="1">
        <v>0</v>
      </c>
      <c r="I216" s="1">
        <v>0</v>
      </c>
      <c r="J216" s="1">
        <v>0</v>
      </c>
      <c r="K216" s="1">
        <v>0</v>
      </c>
      <c r="L216" s="1">
        <v>0</v>
      </c>
      <c r="M216" s="1">
        <v>109</v>
      </c>
      <c r="N216" s="1">
        <v>3</v>
      </c>
      <c r="O216" s="1">
        <v>0</v>
      </c>
      <c r="P216" s="1">
        <v>0</v>
      </c>
      <c r="Q216" s="1">
        <v>0</v>
      </c>
      <c r="R216" s="1">
        <v>0</v>
      </c>
      <c r="S216" s="1">
        <v>0</v>
      </c>
      <c r="T216" s="1">
        <v>0</v>
      </c>
      <c r="U216" s="1" t="s">
        <v>35</v>
      </c>
      <c r="V216" s="1" t="s">
        <v>35</v>
      </c>
      <c r="W216" s="1" t="s">
        <v>35</v>
      </c>
      <c r="X216" s="1" t="s">
        <v>35</v>
      </c>
      <c r="Y216" s="4" t="str">
        <f>IFERROR(VLOOKUP(F:F,#REF!,2,0),"需要手动检查")</f>
        <v>需要手动检查</v>
      </c>
      <c r="Z216" s="5" t="str">
        <f t="shared" si="3"/>
        <v>否</v>
      </c>
      <c r="AA216" s="6" t="s">
        <v>38</v>
      </c>
    </row>
    <row r="217" customHeight="1" spans="1:27">
      <c r="A217" s="1" t="s">
        <v>970</v>
      </c>
      <c r="B217" s="1" t="s">
        <v>971</v>
      </c>
      <c r="C217" s="1" t="s">
        <v>975</v>
      </c>
      <c r="D217" s="1" t="s">
        <v>976</v>
      </c>
      <c r="E217" s="1" t="s">
        <v>977</v>
      </c>
      <c r="F217" s="1" t="s">
        <v>71</v>
      </c>
      <c r="G217" s="1">
        <v>0</v>
      </c>
      <c r="H217" s="1">
        <v>0</v>
      </c>
      <c r="I217" s="1">
        <v>0</v>
      </c>
      <c r="J217" s="1">
        <v>0</v>
      </c>
      <c r="K217" s="1">
        <v>0</v>
      </c>
      <c r="L217" s="1">
        <v>0</v>
      </c>
      <c r="M217" s="1">
        <v>1107</v>
      </c>
      <c r="N217" s="1">
        <v>34</v>
      </c>
      <c r="O217" s="1">
        <v>0</v>
      </c>
      <c r="P217" s="1">
        <v>0</v>
      </c>
      <c r="Q217" s="1">
        <v>0</v>
      </c>
      <c r="R217" s="1">
        <v>0</v>
      </c>
      <c r="S217" s="1">
        <v>0</v>
      </c>
      <c r="T217" s="1">
        <v>0</v>
      </c>
      <c r="U217" s="1" t="s">
        <v>35</v>
      </c>
      <c r="V217" s="1" t="s">
        <v>35</v>
      </c>
      <c r="W217" s="1" t="s">
        <v>35</v>
      </c>
      <c r="X217" s="1" t="s">
        <v>35</v>
      </c>
      <c r="Y217" s="4" t="str">
        <f>IFERROR(VLOOKUP(F:F,#REF!,2,0),"需要手动检查")</f>
        <v>需要手动检查</v>
      </c>
      <c r="Z217" s="5" t="str">
        <f t="shared" si="3"/>
        <v>否</v>
      </c>
      <c r="AA217" s="6" t="s">
        <v>48</v>
      </c>
    </row>
    <row r="218" customHeight="1" spans="1:27">
      <c r="A218" s="1" t="s">
        <v>970</v>
      </c>
      <c r="B218" s="1" t="s">
        <v>971</v>
      </c>
      <c r="C218" s="1" t="s">
        <v>978</v>
      </c>
      <c r="D218" s="1" t="s">
        <v>979</v>
      </c>
      <c r="E218" s="1" t="s">
        <v>980</v>
      </c>
      <c r="F218" s="1" t="s">
        <v>71</v>
      </c>
      <c r="G218" s="1">
        <v>0</v>
      </c>
      <c r="H218" s="1">
        <v>0</v>
      </c>
      <c r="I218" s="1">
        <v>0</v>
      </c>
      <c r="J218" s="1">
        <v>0</v>
      </c>
      <c r="K218" s="1">
        <v>0</v>
      </c>
      <c r="L218" s="1">
        <v>0</v>
      </c>
      <c r="M218" s="1">
        <v>206</v>
      </c>
      <c r="N218" s="1">
        <v>5</v>
      </c>
      <c r="O218" s="1">
        <v>0</v>
      </c>
      <c r="P218" s="1">
        <v>0</v>
      </c>
      <c r="Q218" s="1">
        <v>0</v>
      </c>
      <c r="R218" s="1">
        <v>0</v>
      </c>
      <c r="S218" s="1">
        <v>0</v>
      </c>
      <c r="T218" s="1">
        <v>0</v>
      </c>
      <c r="U218" s="1" t="s">
        <v>35</v>
      </c>
      <c r="V218" s="1" t="s">
        <v>35</v>
      </c>
      <c r="W218" s="1" t="s">
        <v>35</v>
      </c>
      <c r="X218" s="1" t="s">
        <v>35</v>
      </c>
      <c r="Y218" s="4" t="str">
        <f>IFERROR(VLOOKUP(F:F,#REF!,2,0),"需要手动检查")</f>
        <v>需要手动检查</v>
      </c>
      <c r="Z218" s="5" t="str">
        <f t="shared" si="3"/>
        <v>否</v>
      </c>
      <c r="AA218" s="6" t="s">
        <v>38</v>
      </c>
    </row>
    <row r="219" customHeight="1" spans="1:27">
      <c r="A219" s="1" t="s">
        <v>981</v>
      </c>
      <c r="B219" s="1" t="s">
        <v>982</v>
      </c>
      <c r="C219" s="1" t="s">
        <v>71</v>
      </c>
      <c r="D219" s="1" t="s">
        <v>983</v>
      </c>
      <c r="E219" s="7">
        <v>45652.0960648148</v>
      </c>
      <c r="F219" s="1" t="s">
        <v>44</v>
      </c>
      <c r="G219" s="1">
        <v>325</v>
      </c>
      <c r="H219" s="1">
        <v>4</v>
      </c>
      <c r="I219" s="1">
        <v>0</v>
      </c>
      <c r="J219" s="1">
        <v>0</v>
      </c>
      <c r="K219" s="1">
        <v>0</v>
      </c>
      <c r="L219" s="1">
        <v>0</v>
      </c>
      <c r="M219" s="1">
        <v>365</v>
      </c>
      <c r="N219" s="1">
        <v>36</v>
      </c>
      <c r="O219" s="1" t="s">
        <v>71</v>
      </c>
      <c r="P219" s="1">
        <v>0</v>
      </c>
      <c r="Q219" s="1">
        <v>0</v>
      </c>
      <c r="R219" s="1">
        <v>0</v>
      </c>
      <c r="S219" s="1">
        <v>0</v>
      </c>
      <c r="T219" s="1">
        <v>0</v>
      </c>
      <c r="U219" s="1" t="s">
        <v>984</v>
      </c>
      <c r="V219" s="1" t="s">
        <v>35</v>
      </c>
      <c r="W219" s="1" t="s">
        <v>985</v>
      </c>
      <c r="X219" s="1" t="s">
        <v>35</v>
      </c>
      <c r="Y219" s="4" t="str">
        <f>IFERROR(VLOOKUP(F:F,#REF!,2,0),"需要手动检查")</f>
        <v>需要手动检查</v>
      </c>
      <c r="Z219" s="5" t="str">
        <f t="shared" si="3"/>
        <v>否</v>
      </c>
      <c r="AA219" s="6" t="s">
        <v>48</v>
      </c>
    </row>
    <row r="220" customHeight="1" spans="1:27">
      <c r="A220" s="1" t="s">
        <v>986</v>
      </c>
      <c r="B220" s="1" t="s">
        <v>987</v>
      </c>
      <c r="C220" s="1" t="s">
        <v>988</v>
      </c>
      <c r="D220" s="1" t="s">
        <v>989</v>
      </c>
      <c r="E220" s="1" t="s">
        <v>990</v>
      </c>
      <c r="F220" s="1" t="s">
        <v>33</v>
      </c>
      <c r="G220" s="1">
        <v>361</v>
      </c>
      <c r="H220" s="1">
        <v>15</v>
      </c>
      <c r="I220" s="1">
        <v>7</v>
      </c>
      <c r="J220" s="1">
        <v>4</v>
      </c>
      <c r="K220" s="1">
        <v>0</v>
      </c>
      <c r="L220" s="1">
        <v>0</v>
      </c>
      <c r="M220" s="1">
        <v>382</v>
      </c>
      <c r="N220" s="1">
        <v>17</v>
      </c>
      <c r="O220" s="1" t="s">
        <v>71</v>
      </c>
      <c r="P220" s="1">
        <v>6</v>
      </c>
      <c r="Q220" s="1">
        <v>6</v>
      </c>
      <c r="R220" s="1">
        <v>284.94</v>
      </c>
      <c r="S220" s="1">
        <v>789.31</v>
      </c>
      <c r="T220" s="1">
        <v>284.94</v>
      </c>
      <c r="U220" s="1" t="s">
        <v>991</v>
      </c>
      <c r="V220" s="1" t="s">
        <v>35</v>
      </c>
      <c r="W220" s="1" t="s">
        <v>713</v>
      </c>
      <c r="X220" s="1" t="s">
        <v>992</v>
      </c>
      <c r="Y220" s="4" t="str">
        <f>IFERROR(VLOOKUP(F:F,#REF!,2,0),"需要手动检查")</f>
        <v>需要手动检查</v>
      </c>
      <c r="Z220" s="5" t="str">
        <f t="shared" si="3"/>
        <v>是</v>
      </c>
      <c r="AA220" s="6" t="s">
        <v>38</v>
      </c>
    </row>
    <row r="221" customHeight="1" spans="1:27">
      <c r="A221" s="1" t="s">
        <v>993</v>
      </c>
      <c r="B221" s="1" t="s">
        <v>994</v>
      </c>
      <c r="C221" s="1" t="s">
        <v>995</v>
      </c>
      <c r="D221" s="1" t="s">
        <v>996</v>
      </c>
      <c r="E221" s="1" t="s">
        <v>997</v>
      </c>
      <c r="F221" s="1" t="s">
        <v>33</v>
      </c>
      <c r="G221" s="1">
        <v>347</v>
      </c>
      <c r="H221" s="1">
        <v>7</v>
      </c>
      <c r="I221" s="1">
        <v>0</v>
      </c>
      <c r="J221" s="1">
        <v>0</v>
      </c>
      <c r="K221" s="1">
        <v>0</v>
      </c>
      <c r="L221" s="1">
        <v>0</v>
      </c>
      <c r="M221" s="1">
        <v>398</v>
      </c>
      <c r="N221" s="1">
        <v>10</v>
      </c>
      <c r="O221" s="1" t="s">
        <v>71</v>
      </c>
      <c r="P221" s="1">
        <v>0</v>
      </c>
      <c r="Q221" s="1">
        <v>0</v>
      </c>
      <c r="R221" s="1">
        <v>0</v>
      </c>
      <c r="S221" s="1">
        <v>0</v>
      </c>
      <c r="T221" s="1">
        <v>0</v>
      </c>
      <c r="U221" s="1" t="s">
        <v>998</v>
      </c>
      <c r="V221" s="1" t="s">
        <v>35</v>
      </c>
      <c r="W221" s="1" t="s">
        <v>999</v>
      </c>
      <c r="X221" s="1" t="s">
        <v>35</v>
      </c>
      <c r="Y221" s="4" t="str">
        <f>IFERROR(VLOOKUP(F:F,#REF!,2,0),"需要手动检查")</f>
        <v>需要手动检查</v>
      </c>
      <c r="Z221" s="5" t="str">
        <f t="shared" si="3"/>
        <v>否</v>
      </c>
      <c r="AA221" s="6" t="s">
        <v>48</v>
      </c>
    </row>
    <row r="222" customHeight="1" spans="1:27">
      <c r="A222" s="1" t="s">
        <v>1000</v>
      </c>
      <c r="B222" s="1" t="s">
        <v>1001</v>
      </c>
      <c r="C222" s="1" t="s">
        <v>1002</v>
      </c>
      <c r="D222" s="1" t="s">
        <v>1003</v>
      </c>
      <c r="E222" s="1" t="s">
        <v>1004</v>
      </c>
      <c r="F222" s="1" t="s">
        <v>33</v>
      </c>
      <c r="G222" s="1">
        <v>124</v>
      </c>
      <c r="H222" s="1">
        <v>1</v>
      </c>
      <c r="I222" s="1">
        <v>0</v>
      </c>
      <c r="J222" s="1">
        <v>0</v>
      </c>
      <c r="K222" s="1">
        <v>0</v>
      </c>
      <c r="L222" s="1">
        <v>0</v>
      </c>
      <c r="M222" s="1">
        <v>132</v>
      </c>
      <c r="N222" s="1">
        <v>4</v>
      </c>
      <c r="O222" s="1" t="s">
        <v>71</v>
      </c>
      <c r="P222" s="1">
        <v>0</v>
      </c>
      <c r="Q222" s="1">
        <v>0</v>
      </c>
      <c r="R222" s="1">
        <v>0</v>
      </c>
      <c r="S222" s="1">
        <v>0</v>
      </c>
      <c r="T222" s="1">
        <v>0</v>
      </c>
      <c r="U222" s="1" t="s">
        <v>706</v>
      </c>
      <c r="V222" s="1" t="s">
        <v>35</v>
      </c>
      <c r="W222" s="1" t="s">
        <v>35</v>
      </c>
      <c r="X222" s="1" t="s">
        <v>35</v>
      </c>
      <c r="Y222" s="4" t="str">
        <f>IFERROR(VLOOKUP(F:F,#REF!,2,0),"需要手动检查")</f>
        <v>需要手动检查</v>
      </c>
      <c r="Z222" s="5" t="str">
        <f t="shared" si="3"/>
        <v>否</v>
      </c>
      <c r="AA222" s="6" t="s">
        <v>38</v>
      </c>
    </row>
    <row r="223" customHeight="1" spans="1:27">
      <c r="A223" s="1" t="s">
        <v>1005</v>
      </c>
      <c r="B223" s="1" t="s">
        <v>1006</v>
      </c>
      <c r="C223" s="1" t="s">
        <v>1007</v>
      </c>
      <c r="D223" s="1" t="s">
        <v>1008</v>
      </c>
      <c r="E223" s="1" t="s">
        <v>1009</v>
      </c>
      <c r="F223" s="1" t="s">
        <v>54</v>
      </c>
      <c r="G223" s="1">
        <v>1243</v>
      </c>
      <c r="H223" s="1">
        <v>42</v>
      </c>
      <c r="I223" s="1">
        <v>0</v>
      </c>
      <c r="J223" s="1">
        <v>0</v>
      </c>
      <c r="K223" s="1">
        <v>0</v>
      </c>
      <c r="L223" s="1">
        <v>0</v>
      </c>
      <c r="M223" s="1">
        <v>1311</v>
      </c>
      <c r="N223" s="1">
        <v>70</v>
      </c>
      <c r="O223" s="1" t="s">
        <v>71</v>
      </c>
      <c r="P223" s="1">
        <v>0</v>
      </c>
      <c r="Q223" s="1">
        <v>0</v>
      </c>
      <c r="R223" s="1">
        <v>0</v>
      </c>
      <c r="S223" s="1">
        <v>0</v>
      </c>
      <c r="T223" s="1">
        <v>0</v>
      </c>
      <c r="U223" s="1" t="s">
        <v>155</v>
      </c>
      <c r="V223" s="1" t="s">
        <v>35</v>
      </c>
      <c r="W223" s="1" t="s">
        <v>1010</v>
      </c>
      <c r="X223" s="1" t="s">
        <v>35</v>
      </c>
      <c r="Y223" s="4" t="str">
        <f>IFERROR(VLOOKUP(F:F,#REF!,2,0),"需要手动检查")</f>
        <v>需要手动检查</v>
      </c>
      <c r="Z223" s="5" t="str">
        <f t="shared" si="3"/>
        <v>否</v>
      </c>
      <c r="AA223" s="6" t="s">
        <v>48</v>
      </c>
    </row>
    <row r="224" customHeight="1" spans="1:27">
      <c r="A224" s="1" t="s">
        <v>1005</v>
      </c>
      <c r="B224" s="1" t="s">
        <v>1006</v>
      </c>
      <c r="C224" s="1" t="s">
        <v>1011</v>
      </c>
      <c r="D224" s="1" t="s">
        <v>1012</v>
      </c>
      <c r="E224" s="1" t="s">
        <v>1013</v>
      </c>
      <c r="F224" s="1" t="s">
        <v>54</v>
      </c>
      <c r="G224" s="1">
        <v>2</v>
      </c>
      <c r="H224" s="1">
        <v>0</v>
      </c>
      <c r="I224" s="1">
        <v>0</v>
      </c>
      <c r="J224" s="1">
        <v>0</v>
      </c>
      <c r="K224" s="1">
        <v>0</v>
      </c>
      <c r="L224" s="1">
        <v>0</v>
      </c>
      <c r="M224" s="1">
        <v>2</v>
      </c>
      <c r="N224" s="1">
        <v>0</v>
      </c>
      <c r="O224" s="1" t="s">
        <v>71</v>
      </c>
      <c r="P224" s="1">
        <v>0</v>
      </c>
      <c r="Q224" s="1">
        <v>0</v>
      </c>
      <c r="R224" s="1">
        <v>0</v>
      </c>
      <c r="S224" s="1">
        <v>0</v>
      </c>
      <c r="T224" s="1">
        <v>0</v>
      </c>
      <c r="U224" s="1" t="s">
        <v>35</v>
      </c>
      <c r="V224" s="1" t="s">
        <v>35</v>
      </c>
      <c r="W224" s="1" t="s">
        <v>35</v>
      </c>
      <c r="X224" s="1" t="s">
        <v>35</v>
      </c>
      <c r="Y224" s="4" t="str">
        <f>IFERROR(VLOOKUP(F:F,#REF!,2,0),"需要手动检查")</f>
        <v>需要手动检查</v>
      </c>
      <c r="Z224" s="5" t="str">
        <f t="shared" si="3"/>
        <v>否</v>
      </c>
      <c r="AA224" s="6" t="s">
        <v>38</v>
      </c>
    </row>
    <row r="225" customHeight="1" spans="1:27">
      <c r="A225" s="1" t="s">
        <v>1014</v>
      </c>
      <c r="B225" s="1" t="s">
        <v>1015</v>
      </c>
      <c r="C225" s="1" t="s">
        <v>1016</v>
      </c>
      <c r="D225" s="1" t="s">
        <v>1017</v>
      </c>
      <c r="E225" s="1" t="s">
        <v>1018</v>
      </c>
      <c r="F225" s="1" t="s">
        <v>33</v>
      </c>
      <c r="G225" s="1">
        <v>903</v>
      </c>
      <c r="H225" s="1">
        <v>45</v>
      </c>
      <c r="I225" s="1">
        <v>0</v>
      </c>
      <c r="J225" s="1">
        <v>1</v>
      </c>
      <c r="K225" s="1">
        <v>0</v>
      </c>
      <c r="L225" s="1">
        <v>0</v>
      </c>
      <c r="M225" s="1">
        <v>92</v>
      </c>
      <c r="N225" s="1">
        <v>5</v>
      </c>
      <c r="O225" s="1" t="s">
        <v>71</v>
      </c>
      <c r="P225" s="1">
        <v>0</v>
      </c>
      <c r="Q225" s="1">
        <v>0</v>
      </c>
      <c r="R225" s="1">
        <v>0</v>
      </c>
      <c r="S225" s="1">
        <v>0</v>
      </c>
      <c r="T225" s="1">
        <v>0</v>
      </c>
      <c r="U225" s="1" t="s">
        <v>1019</v>
      </c>
      <c r="V225" s="1" t="s">
        <v>35</v>
      </c>
      <c r="W225" s="1" t="s">
        <v>1020</v>
      </c>
      <c r="X225" s="1" t="s">
        <v>35</v>
      </c>
      <c r="Y225" s="4" t="str">
        <f>IFERROR(VLOOKUP(F:F,#REF!,2,0),"需要手动检查")</f>
        <v>需要手动检查</v>
      </c>
      <c r="Z225" s="5" t="str">
        <f t="shared" si="3"/>
        <v>否</v>
      </c>
      <c r="AA225" s="6" t="s">
        <v>48</v>
      </c>
    </row>
    <row r="226" customHeight="1" spans="1:27">
      <c r="A226" s="1" t="s">
        <v>110</v>
      </c>
      <c r="B226" s="1" t="s">
        <v>111</v>
      </c>
      <c r="C226" s="1" t="s">
        <v>112</v>
      </c>
      <c r="D226" s="1" t="s">
        <v>1021</v>
      </c>
      <c r="E226" s="1" t="s">
        <v>1022</v>
      </c>
      <c r="F226" s="1" t="s">
        <v>71</v>
      </c>
      <c r="G226" s="1">
        <v>0</v>
      </c>
      <c r="H226" s="1">
        <v>0</v>
      </c>
      <c r="I226" s="1">
        <v>0</v>
      </c>
      <c r="J226" s="1">
        <v>0</v>
      </c>
      <c r="K226" s="1">
        <v>0</v>
      </c>
      <c r="L226" s="1">
        <v>0</v>
      </c>
      <c r="M226" s="1">
        <v>1000</v>
      </c>
      <c r="N226" s="1">
        <v>12</v>
      </c>
      <c r="O226" s="1" t="s">
        <v>71</v>
      </c>
      <c r="P226" s="1">
        <v>0</v>
      </c>
      <c r="Q226" s="1">
        <v>0</v>
      </c>
      <c r="R226" s="1">
        <v>0</v>
      </c>
      <c r="S226" s="1">
        <v>0</v>
      </c>
      <c r="T226" s="1">
        <v>0</v>
      </c>
      <c r="U226" s="1" t="s">
        <v>35</v>
      </c>
      <c r="V226" s="1" t="s">
        <v>35</v>
      </c>
      <c r="W226" s="1" t="s">
        <v>35</v>
      </c>
      <c r="X226" s="1" t="s">
        <v>35</v>
      </c>
      <c r="Y226" s="4" t="str">
        <f>IFERROR(VLOOKUP(F:F,#REF!,2,0),"需要手动检查")</f>
        <v>需要手动检查</v>
      </c>
      <c r="Z226" s="5" t="str">
        <f t="shared" si="3"/>
        <v>否</v>
      </c>
      <c r="AA226" s="6" t="s">
        <v>38</v>
      </c>
    </row>
    <row r="227" customHeight="1" spans="1:27">
      <c r="A227" s="1" t="s">
        <v>110</v>
      </c>
      <c r="B227" s="1" t="s">
        <v>111</v>
      </c>
      <c r="C227" s="1" t="s">
        <v>112</v>
      </c>
      <c r="D227" s="1" t="s">
        <v>1023</v>
      </c>
      <c r="E227" s="1" t="s">
        <v>1024</v>
      </c>
      <c r="F227" s="1" t="s">
        <v>71</v>
      </c>
      <c r="G227" s="1" t="s">
        <v>1025</v>
      </c>
      <c r="H227" s="1">
        <v>0</v>
      </c>
      <c r="I227" s="1">
        <v>0</v>
      </c>
      <c r="J227" s="1">
        <v>0</v>
      </c>
      <c r="K227" s="1">
        <v>0</v>
      </c>
      <c r="L227" s="1">
        <v>0</v>
      </c>
      <c r="M227" s="1">
        <v>24</v>
      </c>
      <c r="N227" s="1">
        <v>1</v>
      </c>
      <c r="O227" s="1">
        <v>0</v>
      </c>
      <c r="P227" s="1">
        <v>0</v>
      </c>
      <c r="Q227" s="1">
        <v>0</v>
      </c>
      <c r="R227" s="1">
        <v>0</v>
      </c>
      <c r="S227" s="1">
        <v>0</v>
      </c>
      <c r="T227" s="1">
        <v>0</v>
      </c>
      <c r="U227" s="1" t="s">
        <v>35</v>
      </c>
      <c r="V227" s="1" t="s">
        <v>35</v>
      </c>
      <c r="W227" s="1" t="s">
        <v>35</v>
      </c>
      <c r="X227" s="1" t="s">
        <v>35</v>
      </c>
      <c r="Y227" s="4" t="str">
        <f>IFERROR(VLOOKUP(F:F,#REF!,2,0),"需要手动检查")</f>
        <v>需要手动检查</v>
      </c>
      <c r="Z227" s="5" t="str">
        <f t="shared" si="3"/>
        <v>否</v>
      </c>
      <c r="AA227" s="6" t="s">
        <v>48</v>
      </c>
    </row>
    <row r="228" customHeight="1" spans="1:27">
      <c r="A228" s="1" t="s">
        <v>1026</v>
      </c>
      <c r="B228" s="1" t="s">
        <v>1027</v>
      </c>
      <c r="C228" s="1" t="s">
        <v>1028</v>
      </c>
      <c r="D228" s="1" t="s">
        <v>1029</v>
      </c>
      <c r="E228" s="1" t="s">
        <v>1030</v>
      </c>
      <c r="F228" s="1" t="s">
        <v>161</v>
      </c>
      <c r="G228" s="1">
        <v>648</v>
      </c>
      <c r="H228" s="1">
        <v>27</v>
      </c>
      <c r="I228" s="1">
        <v>5</v>
      </c>
      <c r="J228" s="1">
        <v>0</v>
      </c>
      <c r="K228" s="1">
        <v>0</v>
      </c>
      <c r="L228" s="1">
        <v>2</v>
      </c>
      <c r="M228" s="1">
        <v>670</v>
      </c>
      <c r="N228" s="1">
        <v>22</v>
      </c>
      <c r="O228" s="1">
        <v>0</v>
      </c>
      <c r="P228" s="1">
        <v>0</v>
      </c>
      <c r="Q228" s="1">
        <v>0</v>
      </c>
      <c r="R228" s="1">
        <v>0</v>
      </c>
      <c r="S228" s="1">
        <v>0</v>
      </c>
      <c r="T228" s="1">
        <v>0</v>
      </c>
      <c r="U228" s="8">
        <v>0.034</v>
      </c>
      <c r="V228" s="8">
        <v>0.0147</v>
      </c>
      <c r="W228" s="8">
        <v>0.0093</v>
      </c>
      <c r="X228" s="8">
        <v>0</v>
      </c>
      <c r="Y228" s="4" t="str">
        <f>IFERROR(VLOOKUP(F:F,#REF!,2,0),"需要手动检查")</f>
        <v>需要手动检查</v>
      </c>
      <c r="Z228" s="5" t="str">
        <f t="shared" si="3"/>
        <v>否</v>
      </c>
      <c r="AA228" s="6" t="s">
        <v>38</v>
      </c>
    </row>
    <row r="229" customHeight="1" spans="1:27">
      <c r="A229" s="1" t="s">
        <v>199</v>
      </c>
      <c r="B229" s="1" t="s">
        <v>200</v>
      </c>
      <c r="C229" s="1" t="s">
        <v>1031</v>
      </c>
      <c r="D229" s="1" t="s">
        <v>1032</v>
      </c>
      <c r="E229" s="1" t="s">
        <v>1033</v>
      </c>
      <c r="F229" s="1" t="s">
        <v>71</v>
      </c>
      <c r="G229" s="1">
        <v>0</v>
      </c>
      <c r="H229" s="1">
        <v>0</v>
      </c>
      <c r="I229" s="1">
        <v>0</v>
      </c>
      <c r="J229" s="1">
        <v>0</v>
      </c>
      <c r="K229" s="1">
        <v>0</v>
      </c>
      <c r="L229" s="1">
        <v>0</v>
      </c>
      <c r="M229" s="1">
        <v>1</v>
      </c>
      <c r="N229" s="1">
        <v>0</v>
      </c>
      <c r="O229" s="1">
        <v>0</v>
      </c>
      <c r="P229" s="1">
        <v>0</v>
      </c>
      <c r="Q229" s="1">
        <v>0</v>
      </c>
      <c r="R229" s="1">
        <v>0</v>
      </c>
      <c r="S229" s="1">
        <v>0</v>
      </c>
      <c r="T229" s="1">
        <v>0</v>
      </c>
      <c r="U229" s="8">
        <v>0</v>
      </c>
      <c r="V229" s="8">
        <v>0</v>
      </c>
      <c r="W229" s="8">
        <v>0</v>
      </c>
      <c r="X229" s="8">
        <v>0</v>
      </c>
      <c r="Y229" s="4" t="str">
        <f>IFERROR(VLOOKUP(F:F,#REF!,2,0),"需要手动检查")</f>
        <v>需要手动检查</v>
      </c>
      <c r="Z229" s="5" t="str">
        <f t="shared" si="3"/>
        <v>否</v>
      </c>
      <c r="AA229" s="6" t="s">
        <v>38</v>
      </c>
    </row>
    <row r="230" customHeight="1" spans="1:27">
      <c r="A230" s="1" t="s">
        <v>1034</v>
      </c>
      <c r="B230" s="1" t="s">
        <v>1035</v>
      </c>
      <c r="C230" s="1" t="s">
        <v>1036</v>
      </c>
      <c r="D230" s="1" t="s">
        <v>1037</v>
      </c>
      <c r="E230" s="1" t="s">
        <v>1038</v>
      </c>
      <c r="F230" s="1" t="s">
        <v>54</v>
      </c>
      <c r="G230" s="1">
        <v>13128</v>
      </c>
      <c r="H230" s="1">
        <v>785</v>
      </c>
      <c r="I230" s="1">
        <v>9</v>
      </c>
      <c r="J230" s="1">
        <v>20</v>
      </c>
      <c r="K230" s="1">
        <v>9</v>
      </c>
      <c r="L230" s="1">
        <v>0</v>
      </c>
      <c r="M230" s="1">
        <v>13440</v>
      </c>
      <c r="N230" s="1">
        <v>1575</v>
      </c>
      <c r="O230" s="1">
        <v>1</v>
      </c>
      <c r="P230" s="1">
        <v>1</v>
      </c>
      <c r="Q230" s="1">
        <v>1</v>
      </c>
      <c r="R230" s="1">
        <v>53.98</v>
      </c>
      <c r="S230" s="1">
        <v>4.11</v>
      </c>
      <c r="T230" s="1">
        <v>53.98</v>
      </c>
      <c r="U230" s="8">
        <v>0.12</v>
      </c>
      <c r="V230" s="8">
        <v>0</v>
      </c>
      <c r="W230" s="8">
        <v>0.0752</v>
      </c>
      <c r="X230" s="8">
        <v>0.0006</v>
      </c>
      <c r="Y230" s="4" t="str">
        <f>IFERROR(VLOOKUP(F:F,#REF!,2,0),"需要手动检查")</f>
        <v>需要手动检查</v>
      </c>
      <c r="Z230" s="5" t="str">
        <f t="shared" ref="Z230:Z241" si="4">IF(R230&gt;0,"是","否")</f>
        <v>是</v>
      </c>
      <c r="AA230" s="6" t="s">
        <v>38</v>
      </c>
    </row>
    <row r="231" customHeight="1" spans="1:27">
      <c r="A231" s="1" t="s">
        <v>1005</v>
      </c>
      <c r="B231" s="1" t="s">
        <v>1006</v>
      </c>
      <c r="C231" s="1" t="s">
        <v>1039</v>
      </c>
      <c r="D231" s="1" t="s">
        <v>1040</v>
      </c>
      <c r="E231" s="1" t="s">
        <v>1041</v>
      </c>
      <c r="F231" s="1" t="s">
        <v>54</v>
      </c>
      <c r="G231" s="1">
        <v>16643</v>
      </c>
      <c r="H231" s="1">
        <v>181</v>
      </c>
      <c r="I231" s="1">
        <v>20</v>
      </c>
      <c r="J231" s="1">
        <v>1</v>
      </c>
      <c r="K231" s="1">
        <v>10</v>
      </c>
      <c r="L231" s="1">
        <v>0</v>
      </c>
      <c r="M231" s="1">
        <v>19060</v>
      </c>
      <c r="N231" s="1">
        <v>192</v>
      </c>
      <c r="O231" s="1">
        <v>0</v>
      </c>
      <c r="P231" s="1">
        <v>0</v>
      </c>
      <c r="Q231" s="1">
        <v>0</v>
      </c>
      <c r="R231" s="1">
        <v>0</v>
      </c>
      <c r="S231" s="1">
        <v>0</v>
      </c>
      <c r="T231" s="1">
        <v>0</v>
      </c>
      <c r="U231" s="8">
        <v>0.0115</v>
      </c>
      <c r="V231" s="8">
        <v>0</v>
      </c>
      <c r="W231" s="8">
        <v>0.0704</v>
      </c>
      <c r="X231" s="8">
        <v>0</v>
      </c>
      <c r="Y231" s="4" t="str">
        <f>IFERROR(VLOOKUP(F:F,#REF!,2,0),"需要手动检查")</f>
        <v>需要手动检查</v>
      </c>
      <c r="Z231" s="5" t="str">
        <f t="shared" si="4"/>
        <v>否</v>
      </c>
      <c r="AA231" s="6" t="s">
        <v>38</v>
      </c>
    </row>
    <row r="232" customHeight="1" spans="1:27">
      <c r="A232" s="1" t="s">
        <v>199</v>
      </c>
      <c r="B232" s="1" t="s">
        <v>200</v>
      </c>
      <c r="C232" s="1" t="s">
        <v>1042</v>
      </c>
      <c r="D232" s="1" t="s">
        <v>1043</v>
      </c>
      <c r="E232" s="1" t="s">
        <v>1044</v>
      </c>
      <c r="F232" s="1" t="s">
        <v>71</v>
      </c>
      <c r="G232" s="1">
        <v>0</v>
      </c>
      <c r="H232" s="1">
        <v>0</v>
      </c>
      <c r="I232" s="1">
        <v>0</v>
      </c>
      <c r="J232" s="1">
        <v>0</v>
      </c>
      <c r="K232" s="1">
        <v>0</v>
      </c>
      <c r="L232" s="1">
        <v>0</v>
      </c>
      <c r="M232" s="1">
        <v>17</v>
      </c>
      <c r="N232" s="1">
        <v>0</v>
      </c>
      <c r="O232" s="1">
        <v>0</v>
      </c>
      <c r="P232" s="1">
        <v>0</v>
      </c>
      <c r="Q232" s="1">
        <v>0</v>
      </c>
      <c r="R232" s="1">
        <v>0</v>
      </c>
      <c r="S232" s="1">
        <v>0</v>
      </c>
      <c r="T232" s="1">
        <v>0</v>
      </c>
      <c r="U232" s="8">
        <v>0</v>
      </c>
      <c r="V232" s="8">
        <v>0</v>
      </c>
      <c r="W232" s="8">
        <v>0</v>
      </c>
      <c r="X232" s="8">
        <v>0</v>
      </c>
      <c r="Y232" s="4" t="str">
        <f>IFERROR(VLOOKUP(F:F,#REF!,2,0),"需要手动检查")</f>
        <v>需要手动检查</v>
      </c>
      <c r="Z232" s="5" t="str">
        <f t="shared" si="4"/>
        <v>否</v>
      </c>
      <c r="AA232" s="6" t="s">
        <v>38</v>
      </c>
    </row>
    <row r="233" customHeight="1" spans="1:27">
      <c r="A233" s="1" t="s">
        <v>199</v>
      </c>
      <c r="B233" s="1" t="s">
        <v>200</v>
      </c>
      <c r="C233" s="1" t="s">
        <v>1045</v>
      </c>
      <c r="D233" s="1" t="s">
        <v>1046</v>
      </c>
      <c r="E233" s="1" t="s">
        <v>1047</v>
      </c>
      <c r="F233" s="1" t="s">
        <v>71</v>
      </c>
      <c r="G233" s="1">
        <v>0</v>
      </c>
      <c r="H233" s="1">
        <v>0</v>
      </c>
      <c r="I233" s="1">
        <v>0</v>
      </c>
      <c r="J233" s="1">
        <v>0</v>
      </c>
      <c r="K233" s="1">
        <v>0</v>
      </c>
      <c r="L233" s="1">
        <v>0</v>
      </c>
      <c r="M233" s="1">
        <v>1</v>
      </c>
      <c r="N233" s="1">
        <v>0</v>
      </c>
      <c r="O233" s="1">
        <v>0</v>
      </c>
      <c r="P233" s="1">
        <v>0</v>
      </c>
      <c r="Q233" s="1">
        <v>0</v>
      </c>
      <c r="R233" s="1">
        <v>0</v>
      </c>
      <c r="S233" s="1">
        <v>0</v>
      </c>
      <c r="T233" s="1">
        <v>0</v>
      </c>
      <c r="U233" s="8">
        <v>0</v>
      </c>
      <c r="V233" s="8">
        <v>0</v>
      </c>
      <c r="W233" s="8">
        <v>0</v>
      </c>
      <c r="X233" s="8">
        <v>0</v>
      </c>
      <c r="Y233" s="4" t="str">
        <f>IFERROR(VLOOKUP(F:F,#REF!,2,0),"需要手动检查")</f>
        <v>需要手动检查</v>
      </c>
      <c r="Z233" s="5" t="str">
        <f t="shared" si="4"/>
        <v>否</v>
      </c>
      <c r="AA233" s="6" t="s">
        <v>38</v>
      </c>
    </row>
    <row r="234" customHeight="1" spans="1:27">
      <c r="A234" s="1" t="s">
        <v>199</v>
      </c>
      <c r="B234" s="1" t="s">
        <v>200</v>
      </c>
      <c r="C234" s="1" t="s">
        <v>1048</v>
      </c>
      <c r="D234" s="1" t="s">
        <v>1049</v>
      </c>
      <c r="E234" s="1" t="s">
        <v>1050</v>
      </c>
      <c r="F234" s="1" t="s">
        <v>71</v>
      </c>
      <c r="G234" s="1">
        <v>0</v>
      </c>
      <c r="H234" s="1">
        <v>0</v>
      </c>
      <c r="I234" s="1">
        <v>0</v>
      </c>
      <c r="J234" s="1">
        <v>0</v>
      </c>
      <c r="K234" s="1">
        <v>0</v>
      </c>
      <c r="L234" s="1">
        <v>0</v>
      </c>
      <c r="M234" s="1">
        <v>2</v>
      </c>
      <c r="N234" s="1">
        <v>0</v>
      </c>
      <c r="O234" s="1">
        <v>0</v>
      </c>
      <c r="P234" s="1">
        <v>0</v>
      </c>
      <c r="Q234" s="1">
        <v>0</v>
      </c>
      <c r="R234" s="1">
        <v>0</v>
      </c>
      <c r="S234" s="1">
        <v>0</v>
      </c>
      <c r="T234" s="1">
        <v>0</v>
      </c>
      <c r="U234" s="8">
        <v>0</v>
      </c>
      <c r="V234" s="8">
        <v>0</v>
      </c>
      <c r="W234" s="8">
        <v>0</v>
      </c>
      <c r="X234" s="8">
        <v>0</v>
      </c>
      <c r="Y234" s="4" t="str">
        <f>IFERROR(VLOOKUP(F:F,#REF!,2,0),"需要手动检查")</f>
        <v>需要手动检查</v>
      </c>
      <c r="Z234" s="5" t="str">
        <f t="shared" si="4"/>
        <v>否</v>
      </c>
      <c r="AA234" s="6" t="s">
        <v>38</v>
      </c>
    </row>
    <row r="235" customHeight="1" spans="1:27">
      <c r="A235" s="1" t="s">
        <v>1026</v>
      </c>
      <c r="B235" s="1" t="s">
        <v>1027</v>
      </c>
      <c r="C235" s="1" t="s">
        <v>1028</v>
      </c>
      <c r="D235" s="1" t="s">
        <v>1029</v>
      </c>
      <c r="E235" s="1" t="s">
        <v>1030</v>
      </c>
      <c r="F235" s="1" t="s">
        <v>161</v>
      </c>
      <c r="G235" s="1">
        <v>964</v>
      </c>
      <c r="H235" s="1">
        <v>30</v>
      </c>
      <c r="I235" s="1">
        <v>5</v>
      </c>
      <c r="J235" s="1">
        <v>0</v>
      </c>
      <c r="K235" s="1">
        <v>0</v>
      </c>
      <c r="L235" s="1">
        <v>2</v>
      </c>
      <c r="M235" s="1">
        <v>1004</v>
      </c>
      <c r="N235" s="1">
        <v>24</v>
      </c>
      <c r="O235" s="1">
        <v>0</v>
      </c>
      <c r="P235" s="1">
        <v>0</v>
      </c>
      <c r="Q235" s="1">
        <v>0</v>
      </c>
      <c r="R235" s="1">
        <v>0</v>
      </c>
      <c r="S235" s="1">
        <v>0</v>
      </c>
      <c r="T235" s="1">
        <v>0</v>
      </c>
      <c r="U235" s="8">
        <v>0.0249</v>
      </c>
      <c r="V235" s="8">
        <v>0.0142</v>
      </c>
      <c r="W235" s="8">
        <v>0.0093</v>
      </c>
      <c r="X235" s="8">
        <v>0</v>
      </c>
      <c r="Y235" s="4" t="str">
        <f>IFERROR(VLOOKUP(F:F,#REF!,2,0),"需要手动检查")</f>
        <v>需要手动检查</v>
      </c>
      <c r="Z235" s="5" t="str">
        <f t="shared" si="4"/>
        <v>否</v>
      </c>
      <c r="AA235" s="6" t="s">
        <v>38</v>
      </c>
    </row>
    <row r="236" customHeight="1" spans="1:27">
      <c r="A236" s="1" t="s">
        <v>199</v>
      </c>
      <c r="B236" s="1" t="s">
        <v>200</v>
      </c>
      <c r="C236" s="1" t="s">
        <v>1051</v>
      </c>
      <c r="D236" s="1" t="s">
        <v>1052</v>
      </c>
      <c r="E236" s="1" t="s">
        <v>1053</v>
      </c>
      <c r="F236" s="1" t="s">
        <v>71</v>
      </c>
      <c r="G236" s="1">
        <v>0</v>
      </c>
      <c r="H236" s="1">
        <v>0</v>
      </c>
      <c r="I236" s="1">
        <v>0</v>
      </c>
      <c r="J236" s="1">
        <v>0</v>
      </c>
      <c r="K236" s="1">
        <v>0</v>
      </c>
      <c r="L236" s="1">
        <v>0</v>
      </c>
      <c r="M236" s="1">
        <v>7</v>
      </c>
      <c r="N236" s="1">
        <v>0</v>
      </c>
      <c r="O236" s="1">
        <v>0</v>
      </c>
      <c r="P236" s="1">
        <v>0</v>
      </c>
      <c r="Q236" s="1">
        <v>0</v>
      </c>
      <c r="R236" s="1">
        <v>0</v>
      </c>
      <c r="S236" s="1">
        <v>0</v>
      </c>
      <c r="T236" s="1">
        <v>0</v>
      </c>
      <c r="U236" s="8">
        <v>0</v>
      </c>
      <c r="V236" s="8">
        <v>0</v>
      </c>
      <c r="W236" s="8">
        <v>0</v>
      </c>
      <c r="X236" s="8">
        <v>0</v>
      </c>
      <c r="Y236" s="4" t="str">
        <f>IFERROR(VLOOKUP(F:F,#REF!,2,0),"需要手动检查")</f>
        <v>需要手动检查</v>
      </c>
      <c r="Z236" s="5" t="str">
        <f t="shared" si="4"/>
        <v>否</v>
      </c>
      <c r="AA236" s="6" t="s">
        <v>38</v>
      </c>
    </row>
    <row r="237" customHeight="1" spans="1:27">
      <c r="A237" s="1" t="s">
        <v>199</v>
      </c>
      <c r="B237" s="1" t="s">
        <v>200</v>
      </c>
      <c r="C237" s="1" t="s">
        <v>1054</v>
      </c>
      <c r="D237" s="1" t="s">
        <v>1055</v>
      </c>
      <c r="E237" s="1" t="s">
        <v>1056</v>
      </c>
      <c r="F237" s="1" t="s">
        <v>71</v>
      </c>
      <c r="G237" s="1">
        <v>0</v>
      </c>
      <c r="H237" s="1">
        <v>0</v>
      </c>
      <c r="I237" s="1">
        <v>0</v>
      </c>
      <c r="J237" s="1">
        <v>0</v>
      </c>
      <c r="K237" s="1">
        <v>0</v>
      </c>
      <c r="L237" s="1">
        <v>0</v>
      </c>
      <c r="M237" s="1">
        <v>5</v>
      </c>
      <c r="N237" s="1">
        <v>0</v>
      </c>
      <c r="O237" s="1">
        <v>0</v>
      </c>
      <c r="P237" s="1">
        <v>0</v>
      </c>
      <c r="Q237" s="1">
        <v>0</v>
      </c>
      <c r="R237" s="1">
        <v>0</v>
      </c>
      <c r="S237" s="1">
        <v>0</v>
      </c>
      <c r="T237" s="1">
        <v>0</v>
      </c>
      <c r="U237" s="8">
        <v>0</v>
      </c>
      <c r="V237" s="8">
        <v>0</v>
      </c>
      <c r="W237" s="8">
        <v>0</v>
      </c>
      <c r="X237" s="8">
        <v>0</v>
      </c>
      <c r="Y237" s="4" t="str">
        <f>IFERROR(VLOOKUP(F:F,#REF!,2,0),"需要手动检查")</f>
        <v>需要手动检查</v>
      </c>
      <c r="Z237" s="5" t="str">
        <f t="shared" si="4"/>
        <v>否</v>
      </c>
      <c r="AA237" s="6" t="s">
        <v>38</v>
      </c>
    </row>
    <row r="238" customHeight="1" spans="1:27">
      <c r="A238" s="1" t="s">
        <v>199</v>
      </c>
      <c r="B238" s="1" t="s">
        <v>200</v>
      </c>
      <c r="C238" s="1" t="s">
        <v>1057</v>
      </c>
      <c r="D238" s="1" t="s">
        <v>1058</v>
      </c>
      <c r="E238" s="1" t="s">
        <v>1059</v>
      </c>
      <c r="F238" s="1" t="s">
        <v>71</v>
      </c>
      <c r="G238" s="1">
        <v>0</v>
      </c>
      <c r="H238" s="1">
        <v>0</v>
      </c>
      <c r="I238" s="1">
        <v>0</v>
      </c>
      <c r="J238" s="1">
        <v>0</v>
      </c>
      <c r="K238" s="1">
        <v>0</v>
      </c>
      <c r="L238" s="1">
        <v>0</v>
      </c>
      <c r="M238" s="1">
        <v>11</v>
      </c>
      <c r="N238" s="1">
        <v>0</v>
      </c>
      <c r="O238" s="1">
        <v>0</v>
      </c>
      <c r="P238" s="1">
        <v>0</v>
      </c>
      <c r="Q238" s="1">
        <v>0</v>
      </c>
      <c r="R238" s="1">
        <v>0</v>
      </c>
      <c r="S238" s="1">
        <v>0</v>
      </c>
      <c r="T238" s="1">
        <v>0</v>
      </c>
      <c r="U238" s="8">
        <v>0</v>
      </c>
      <c r="V238" s="8">
        <v>0</v>
      </c>
      <c r="W238" s="8">
        <v>0</v>
      </c>
      <c r="X238" s="8">
        <v>0</v>
      </c>
      <c r="Y238" s="4" t="str">
        <f>IFERROR(VLOOKUP(F:F,#REF!,2,0),"需要手动检查")</f>
        <v>需要手动检查</v>
      </c>
      <c r="Z238" s="5" t="str">
        <f t="shared" si="4"/>
        <v>否</v>
      </c>
      <c r="AA238" s="6" t="s">
        <v>38</v>
      </c>
    </row>
    <row r="239" customHeight="1" spans="1:27">
      <c r="A239" s="1" t="s">
        <v>199</v>
      </c>
      <c r="B239" s="1" t="s">
        <v>200</v>
      </c>
      <c r="C239" s="1" t="s">
        <v>1060</v>
      </c>
      <c r="D239" s="1" t="s">
        <v>1061</v>
      </c>
      <c r="E239" s="1" t="s">
        <v>1062</v>
      </c>
      <c r="F239" s="1" t="s">
        <v>71</v>
      </c>
      <c r="G239" s="1">
        <v>0</v>
      </c>
      <c r="H239" s="1">
        <v>0</v>
      </c>
      <c r="I239" s="1">
        <v>0</v>
      </c>
      <c r="J239" s="1">
        <v>0</v>
      </c>
      <c r="K239" s="1">
        <v>0</v>
      </c>
      <c r="L239" s="1">
        <v>0</v>
      </c>
      <c r="M239" s="1">
        <v>20</v>
      </c>
      <c r="N239" s="1">
        <v>0</v>
      </c>
      <c r="O239" s="1">
        <v>0</v>
      </c>
      <c r="P239" s="1">
        <v>0</v>
      </c>
      <c r="Q239" s="1">
        <v>0</v>
      </c>
      <c r="R239" s="1">
        <v>0</v>
      </c>
      <c r="S239" s="1">
        <v>0</v>
      </c>
      <c r="T239" s="1">
        <v>0</v>
      </c>
      <c r="U239" s="8">
        <v>0</v>
      </c>
      <c r="V239" s="8">
        <v>0</v>
      </c>
      <c r="W239" s="8">
        <v>0</v>
      </c>
      <c r="X239" s="8">
        <v>0</v>
      </c>
      <c r="Y239" s="4" t="str">
        <f>IFERROR(VLOOKUP(F:F,#REF!,2,0),"需要手动检查")</f>
        <v>需要手动检查</v>
      </c>
      <c r="Z239" s="5" t="str">
        <f t="shared" si="4"/>
        <v>否</v>
      </c>
      <c r="AA239" s="6" t="s">
        <v>38</v>
      </c>
    </row>
    <row r="240" customHeight="1" spans="1:27">
      <c r="A240" s="1" t="s">
        <v>1034</v>
      </c>
      <c r="B240" s="1" t="s">
        <v>1035</v>
      </c>
      <c r="C240" s="1" t="s">
        <v>1063</v>
      </c>
      <c r="D240" s="1" t="s">
        <v>1064</v>
      </c>
      <c r="E240" s="9">
        <v>45688</v>
      </c>
      <c r="F240" s="1" t="s">
        <v>54</v>
      </c>
      <c r="G240" s="1">
        <v>29961</v>
      </c>
      <c r="H240" s="1">
        <v>3310</v>
      </c>
      <c r="I240" s="1">
        <v>15</v>
      </c>
      <c r="J240" s="1">
        <v>27</v>
      </c>
      <c r="K240" s="1">
        <v>39</v>
      </c>
      <c r="L240" s="1">
        <v>0</v>
      </c>
      <c r="M240" s="1">
        <v>33848</v>
      </c>
      <c r="N240" s="1">
        <v>4471</v>
      </c>
      <c r="O240" s="1">
        <v>2</v>
      </c>
      <c r="P240" s="1">
        <v>2</v>
      </c>
      <c r="Q240" s="1">
        <v>2</v>
      </c>
      <c r="R240" s="1">
        <v>92.96</v>
      </c>
      <c r="S240" s="1">
        <v>3.1</v>
      </c>
      <c r="T240" s="1">
        <v>92.96</v>
      </c>
      <c r="U240" s="8">
        <v>0.1492</v>
      </c>
      <c r="V240" s="8">
        <v>0</v>
      </c>
      <c r="W240" s="8">
        <v>0.1226</v>
      </c>
      <c r="X240" s="8">
        <v>0.0004</v>
      </c>
      <c r="Y240" s="4" t="str">
        <f>IFERROR(VLOOKUP(F:F,#REF!,2,0),"需要手动检查")</f>
        <v>需要手动检查</v>
      </c>
      <c r="Z240" s="5" t="str">
        <f t="shared" si="4"/>
        <v>是</v>
      </c>
      <c r="AA240" s="6" t="s">
        <v>38</v>
      </c>
    </row>
    <row r="241" customHeight="1" spans="1:27">
      <c r="A241" s="1" t="s">
        <v>1065</v>
      </c>
      <c r="B241" s="1" t="s">
        <v>1066</v>
      </c>
      <c r="C241" s="1" t="s">
        <v>1067</v>
      </c>
      <c r="D241" s="1" t="s">
        <v>1068</v>
      </c>
      <c r="E241" s="9">
        <v>45693</v>
      </c>
      <c r="F241" s="1" t="s">
        <v>44</v>
      </c>
      <c r="G241" s="1">
        <v>563</v>
      </c>
      <c r="H241" s="1">
        <v>2</v>
      </c>
      <c r="I241" s="1">
        <v>0</v>
      </c>
      <c r="J241" s="1">
        <v>0</v>
      </c>
      <c r="K241" s="1">
        <v>0</v>
      </c>
      <c r="L241" s="1">
        <v>0</v>
      </c>
      <c r="M241" s="1">
        <v>610</v>
      </c>
      <c r="N241" s="1">
        <v>2</v>
      </c>
      <c r="O241" s="1">
        <v>0</v>
      </c>
      <c r="P241" s="1">
        <v>0</v>
      </c>
      <c r="Q241" s="1">
        <v>0</v>
      </c>
      <c r="R241" s="1">
        <v>0</v>
      </c>
      <c r="S241" s="1">
        <v>0</v>
      </c>
      <c r="T241" s="1">
        <v>0</v>
      </c>
      <c r="U241" s="8">
        <v>0.0036</v>
      </c>
      <c r="V241" s="8">
        <v>0</v>
      </c>
      <c r="W241" s="8">
        <v>0.0124</v>
      </c>
      <c r="X241" s="8">
        <v>0</v>
      </c>
      <c r="Y241" s="4" t="str">
        <f>IFERROR(VLOOKUP(F:F,#REF!,2,0),"需要手动检查")</f>
        <v>需要手动检查</v>
      </c>
      <c r="Z241" s="5" t="str">
        <f t="shared" si="4"/>
        <v>否</v>
      </c>
      <c r="AA241" s="6" t="s">
        <v>38</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数据源粘贴在这里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2006-09-16T08:00:00Z</dcterms:created>
  <dcterms:modified xsi:type="dcterms:W3CDTF">2026-04-20T17:32:25Z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61D1F55647DA435C9F483D3A98B9DDB9_13</vt:lpwstr>
  </property>
  <property fmtid="{D5CDD505-2E9C-101B-9397-08002B2CF9AE}" pid="3" name="KSOProductBuildVer">
    <vt:lpwstr>2052-12.1.25867.25867</vt:lpwstr>
  </property>
  <property fmtid="{D5CDD505-2E9C-101B-9397-08002B2CF9AE}" pid="4" name="CalculationRule">
    <vt:i4>0</vt:i4>
  </property>
</Properties>
</file>
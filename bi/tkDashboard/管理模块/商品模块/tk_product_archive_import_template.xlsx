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导入模板" sheetId="1" r:id="rId1"/>
    <sheet name="字段说明" sheetId="2" r:id="rId2"/>
    <sheet name="填写选项" sheetId="3" r:id="rId3"/>
    <sheet name="Sheet1" sheetId="4" r:id="rId4"/>
    <sheet name="Sheet2" sheetId="5" r:id="rId5"/>
    <sheet name="Sheet3" sheetId="6" r:id="rId6"/>
  </sheets>
  <definedNames>
    <definedName name="_xlnm._FilterDatabase" localSheetId="0" hidden="1">导入模板!$A$4:$AH$134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<sst xmlns="http://schemas.openxmlformats.org/spreadsheetml/2006/main" count="3813" uniqueCount="740">
  <si>
    <t>TK 内容中台商品档案导入模板</t>
  </si>
  <si>
    <t>第 3 行为接口字段名，请不要修改；第 4 行为中文说明；从第 5 行开始填写导入数据。多值字段使用英文逗号分隔，只读字段可留空。</t>
  </si>
  <si>
    <t>platformCode</t>
  </si>
  <si>
    <t>storeName</t>
  </si>
  <si>
    <t>siteCode</t>
  </si>
  <si>
    <t>pid</t>
  </si>
  <si>
    <t>sku</t>
  </si>
  <si>
    <t>pidUsage</t>
  </si>
  <si>
    <t>productOperationLevelName</t>
  </si>
  <si>
    <t>productOperationStatusName</t>
  </si>
  <si>
    <t>productTags</t>
  </si>
  <si>
    <t>seasonTags</t>
  </si>
  <si>
    <t>operatorOwner</t>
  </si>
  <si>
    <t>businessOwner</t>
  </si>
  <si>
    <t>guidanceOwner</t>
  </si>
  <si>
    <t>editorOwner</t>
  </si>
  <si>
    <t>liveOwner</t>
  </si>
  <si>
    <t>adOwner</t>
  </si>
  <si>
    <t>tagPrice</t>
  </si>
  <si>
    <t>dailySalePrice</t>
  </si>
  <si>
    <t>liveFlashPrice</t>
  </si>
  <si>
    <t>campaignPrice</t>
  </si>
  <si>
    <t>amazonPrice</t>
  </si>
  <si>
    <t>sitePrice</t>
  </si>
  <si>
    <t>publicCommissionRate</t>
  </si>
  <si>
    <t>targetCommissionRate</t>
  </si>
  <si>
    <t>adCommissionRate</t>
  </si>
  <si>
    <t>ippcRegisterStatus</t>
  </si>
  <si>
    <t>ippcRemark</t>
  </si>
  <si>
    <t>productSellingPoints</t>
  </si>
  <si>
    <t>productAnalysis</t>
  </si>
  <si>
    <t>tkProductUrl</t>
  </si>
  <si>
    <t>siteProductUrl</t>
  </si>
  <si>
    <t>assetFolderUrl</t>
  </si>
  <si>
    <t>sourceUpdateDate</t>
  </si>
  <si>
    <t>updatedTime</t>
  </si>
  <si>
    <t>平台代码（必填）</t>
  </si>
  <si>
    <t>所属店铺（必填）</t>
  </si>
  <si>
    <t>站点代码（只读）</t>
  </si>
  <si>
    <t>PID / 商品 ID（必填）</t>
  </si>
  <si>
    <t>SKU 编码</t>
  </si>
  <si>
    <t>PID 作用</t>
  </si>
  <si>
    <t>商品运营级别</t>
  </si>
  <si>
    <t>商品运营状态</t>
  </si>
  <si>
    <t>商品标签</t>
  </si>
  <si>
    <t>季节标签</t>
  </si>
  <si>
    <t>负责运营</t>
  </si>
  <si>
    <t>负责商务</t>
  </si>
  <si>
    <t>负责指导 / 编导</t>
  </si>
  <si>
    <t>负责剪辑</t>
  </si>
  <si>
    <t>直播运营</t>
  </si>
  <si>
    <t>投放负责人</t>
  </si>
  <si>
    <t>吊牌价</t>
  </si>
  <si>
    <t>日常折线价</t>
  </si>
  <si>
    <t>直播间秒杀价</t>
  </si>
  <si>
    <t>活动报名价</t>
  </si>
  <si>
    <t>亚马逊定价</t>
  </si>
  <si>
    <t>独立站价格</t>
  </si>
  <si>
    <t>公开佣金比例</t>
  </si>
  <si>
    <t>定向佣金比例</t>
  </si>
  <si>
    <t>广告佣金比例</t>
  </si>
  <si>
    <t>IPPC 注册情况</t>
  </si>
  <si>
    <t>IPPC 情况说明</t>
  </si>
  <si>
    <t>产品卖点</t>
  </si>
  <si>
    <t>商品分析说明</t>
  </si>
  <si>
    <t>TK 商品链接</t>
  </si>
  <si>
    <t>独立站商品链接</t>
  </si>
  <si>
    <t>素材文件夹链接</t>
  </si>
  <si>
    <t>源数据更新日期（只读）</t>
  </si>
  <si>
    <t>档案更新时间（只读）</t>
  </si>
  <si>
    <t>TK</t>
  </si>
  <si>
    <t>示例店铺</t>
  </si>
  <si>
    <t>US</t>
  </si>
  <si>
    <t>PID_1729384756000000000</t>
  </si>
  <si>
    <t>SKU-001-BLACK-S</t>
  </si>
  <si>
    <t>主推款</t>
  </si>
  <si>
    <t>A</t>
  </si>
  <si>
    <t>重点运营</t>
  </si>
  <si>
    <t>新品,热卖</t>
  </si>
  <si>
    <t>春,夏</t>
  </si>
  <si>
    <t>张三</t>
  </si>
  <si>
    <t>李四</t>
  </si>
  <si>
    <t>王五</t>
  </si>
  <si>
    <t>赵六</t>
  </si>
  <si>
    <t>钱七</t>
  </si>
  <si>
    <t>孙八</t>
  </si>
  <si>
    <t>已注册</t>
  </si>
  <si>
    <t>证书资料已归档</t>
  </si>
  <si>
    <t>轻薄透气，适合夏季穿着</t>
  </si>
  <si>
    <t>适合短视频种草和直播间转化</t>
  </si>
  <si>
    <t>https://www.tiktok.com/shop/pdp/example</t>
  </si>
  <si>
    <t>https://example.com/products/demo</t>
  </si>
  <si>
    <t>https://example.com/folder/demo</t>
  </si>
  <si>
    <t>2026-07-23</t>
  </si>
  <si>
    <t>2026-07-23 10:30:00</t>
  </si>
  <si>
    <t>Faiable Fashion</t>
  </si>
  <si>
    <t>1729439482671567205</t>
  </si>
  <si>
    <t>AL-W0169</t>
  </si>
  <si>
    <t>老品,热销</t>
  </si>
  <si>
    <t>秋,冬</t>
  </si>
  <si>
    <t>邹徐夏子</t>
  </si>
  <si>
    <t>张筱敏</t>
  </si>
  <si>
    <t>无</t>
  </si>
  <si>
    <t>剪辑全员</t>
  </si>
  <si>
    <t/>
  </si>
  <si>
    <t>复古水洗加绒</t>
  </si>
  <si>
    <t>https://www.tiktok.com/@shop/product/1729439482671567205</t>
  </si>
  <si>
    <t>1729439597925077349</t>
  </si>
  <si>
    <t>次推款</t>
  </si>
  <si>
    <t>B</t>
  </si>
  <si>
    <t>常规运营</t>
  </si>
  <si>
    <r>
      <t>老品</t>
    </r>
    <r>
      <rPr>
        <sz val="11"/>
        <rFont val="Arial"/>
        <charset val="134"/>
      </rPr>
      <t>,</t>
    </r>
    <r>
      <rPr>
        <sz val="11"/>
        <rFont val="宋体"/>
        <charset val="134"/>
      </rPr>
      <t>平销</t>
    </r>
  </si>
  <si>
    <r>
      <t>秋</t>
    </r>
    <r>
      <rPr>
        <sz val="11"/>
        <rFont val="Arial"/>
        <charset val="134"/>
      </rPr>
      <t>,</t>
    </r>
    <r>
      <rPr>
        <sz val="11"/>
        <rFont val="宋体"/>
        <charset val="134"/>
      </rPr>
      <t>冬</t>
    </r>
  </si>
  <si>
    <t>暂不涉及</t>
  </si>
  <si>
    <t>https://www.tiktok.com/@shop/product/1729439597925077349</t>
  </si>
  <si>
    <t>1729774299176145253</t>
  </si>
  <si>
    <t>矩阵</t>
  </si>
  <si>
    <t>C</t>
  </si>
  <si>
    <t>基础运营</t>
  </si>
  <si>
    <t>老品,平销</t>
  </si>
  <si>
    <t>https://www.tiktok.com/@shop/product/1729774299176145253</t>
  </si>
  <si>
    <t>1729474842401476965</t>
  </si>
  <si>
    <t>https://www.tiktok.com/@shop/product/1729474842401476965</t>
  </si>
  <si>
    <t>1731651328712937829</t>
  </si>
  <si>
    <t>https://www.tiktok.com/@shop/product/1731651328712937829</t>
  </si>
  <si>
    <t>1729876924660552037</t>
  </si>
  <si>
    <t>https://www.tiktok.com/@shop/product/1729876924660552037</t>
  </si>
  <si>
    <t>1729773126172578149</t>
  </si>
  <si>
    <t>AL-W0161</t>
  </si>
  <si>
    <t>商务主推款</t>
  </si>
  <si>
    <t>魏芷颖</t>
  </si>
  <si>
    <t>复古水洗双拉连加绒</t>
  </si>
  <si>
    <t>https://www.tiktok.com/@shop/product/1729773126172578149</t>
  </si>
  <si>
    <t>1730674849392267621</t>
  </si>
  <si>
    <t>剪辑主推款</t>
  </si>
  <si>
    <t>https://www.tiktok.com/@shop/product/1730674849392267621</t>
  </si>
  <si>
    <t>1731077240963502437</t>
  </si>
  <si>
    <t>https://www.tiktok.com/@shop/product/1731077240963502437</t>
  </si>
  <si>
    <t>1731651043684028773</t>
  </si>
  <si>
    <t>https://www.tiktok.com/@shop/product/1731651043684028773</t>
  </si>
  <si>
    <t>1731657241623302501</t>
  </si>
  <si>
    <t>AL-W0180</t>
  </si>
  <si>
    <t>陈圻</t>
  </si>
  <si>
    <t>复古水洗半拉连加绒</t>
  </si>
  <si>
    <t>https://www.tiktok.com/@shop/product/1731657241623302501</t>
  </si>
  <si>
    <t>1731902422767866213</t>
  </si>
  <si>
    <t>https://www.tiktok.com/@shop/product/1731902422767866213</t>
  </si>
  <si>
    <t>1729474118118249829</t>
  </si>
  <si>
    <t>https://www.tiktok.com/@shop/product/1729474118118249829</t>
  </si>
  <si>
    <t>1731186747983171941</t>
  </si>
  <si>
    <t>AL-W0518</t>
  </si>
  <si>
    <r>
      <t>春</t>
    </r>
    <r>
      <rPr>
        <sz val="11"/>
        <rFont val="Arial"/>
        <charset val="134"/>
      </rPr>
      <t>,</t>
    </r>
    <r>
      <rPr>
        <sz val="11"/>
        <rFont val="宋体"/>
        <charset val="134"/>
      </rPr>
      <t>夏</t>
    </r>
  </si>
  <si>
    <t>轻便卷边半透明</t>
  </si>
  <si>
    <t>https://www.tiktok.com/@shop/product/1731186747983171941</t>
  </si>
  <si>
    <t>1731777596597178725</t>
  </si>
  <si>
    <t>https://www.tiktok.com/@shop/product/1731777596597178725</t>
  </si>
  <si>
    <t>1729439778991083877</t>
  </si>
  <si>
    <t>AL-W0190B</t>
  </si>
  <si>
    <t>清仓款</t>
  </si>
  <si>
    <t>D</t>
  </si>
  <si>
    <t>老品,滞销</t>
  </si>
  <si>
    <t>https://www.tiktok.com/@shop/product/1729439778991083877</t>
  </si>
  <si>
    <t>1729445816792093029</t>
  </si>
  <si>
    <r>
      <t>老品</t>
    </r>
    <r>
      <rPr>
        <sz val="11"/>
        <rFont val="Arial"/>
        <charset val="134"/>
      </rPr>
      <t>,</t>
    </r>
    <r>
      <rPr>
        <sz val="11"/>
        <rFont val="宋体"/>
        <charset val="134"/>
      </rPr>
      <t>滞销</t>
    </r>
  </si>
  <si>
    <t>https://www.tiktok.com/@shop/product/1729445816792093029</t>
  </si>
  <si>
    <t>1731652088708829541</t>
  </si>
  <si>
    <t>https://www.tiktok.com/@shop/product/1731652088708829541</t>
  </si>
  <si>
    <t>1729446258071540069</t>
  </si>
  <si>
    <t>https://www.tiktok.com/@shop/product/1729446258071540069</t>
  </si>
  <si>
    <t>1729442841715118437</t>
  </si>
  <si>
    <t>AL-W0150</t>
  </si>
  <si>
    <t>https://www.tiktok.com/@shop/product/1729442841715118437</t>
  </si>
  <si>
    <t>1729441624458432869</t>
  </si>
  <si>
    <t>https://www.tiktok.com/@shop/product/1729441624458432869</t>
  </si>
  <si>
    <t>1731653782107951461</t>
  </si>
  <si>
    <t>https://www.tiktok.com/@shop/product/1731653782107951461</t>
  </si>
  <si>
    <t>1729439383361524069</t>
  </si>
  <si>
    <t>https://www.tiktok.com/@shop/product/1729439383361524069</t>
  </si>
  <si>
    <t>1732152447352541541</t>
  </si>
  <si>
    <t>ALYMX-DROPSW</t>
  </si>
  <si>
    <t>滞销款</t>
  </si>
  <si>
    <t>短款v领复古水洗</t>
  </si>
  <si>
    <t>https://www.tiktok.com/@shop/product/1732152447352541541</t>
  </si>
  <si>
    <t>1729439569128755557</t>
  </si>
  <si>
    <t>https://www.tiktok.com/@shop/product/1729439569128755557</t>
  </si>
  <si>
    <t>1729441587257708901</t>
  </si>
  <si>
    <t>https://www.tiktok.com/@shop/product/1729441587257708901</t>
  </si>
  <si>
    <t>1729441864723566949</t>
  </si>
  <si>
    <t>https://www.tiktok.com/@shop/product/1729441864723566949</t>
  </si>
  <si>
    <t>1731654013478146405</t>
  </si>
  <si>
    <t>https://www.tiktok.com/@shop/product/1731654013478146405</t>
  </si>
  <si>
    <t>1729416165725475173</t>
  </si>
  <si>
    <t>https://www.tiktok.com/@shop/product/1729416165725475173</t>
  </si>
  <si>
    <t>1730564893724676453</t>
  </si>
  <si>
    <t>AL-W0199</t>
  </si>
  <si>
    <t>情人节主推款</t>
  </si>
  <si>
    <t>情人节</t>
  </si>
  <si>
    <t>https://www.tiktok.com/@shop/product/1730564893724676453</t>
  </si>
  <si>
    <t>1730664352968905061</t>
  </si>
  <si>
    <t>https://www.tiktok.com/@shop/product/1730664352968905061</t>
  </si>
  <si>
    <t>1730614794040807781</t>
  </si>
  <si>
    <t>AL-W2467</t>
  </si>
  <si>
    <t>https://www.tiktok.com/@shop/product/1730614794040807781</t>
  </si>
  <si>
    <t>1730673744405238117</t>
  </si>
  <si>
    <t>https://www.tiktok.com/@shop/product/1730673744405238117</t>
  </si>
  <si>
    <t>1729799431028707685</t>
  </si>
  <si>
    <t>AL-1138</t>
  </si>
  <si>
    <t>https://www.tiktok.com/@shop/product/1729799431028707685</t>
  </si>
  <si>
    <t>1729941138102063461</t>
  </si>
  <si>
    <t>https://www.tiktok.com/@shop/product/1729941138102063461</t>
  </si>
  <si>
    <t>1730569205741031781</t>
  </si>
  <si>
    <t>AL-W1189</t>
  </si>
  <si>
    <t>https://www.tiktok.com/@shop/product/1730569205741031781</t>
  </si>
  <si>
    <t>1730664447555899749</t>
  </si>
  <si>
    <t>https://www.tiktok.com/@shop/product/1730664447555899749</t>
  </si>
  <si>
    <t>1730075990024360293</t>
  </si>
  <si>
    <t>AL-WT2404</t>
  </si>
  <si>
    <t>复古水洗加绒斜肩</t>
  </si>
  <si>
    <t>https://www.tiktok.com/@shop/product/1730075990024360293</t>
  </si>
  <si>
    <t>1730216955590185317</t>
  </si>
  <si>
    <t>AL-SZ2405</t>
  </si>
  <si>
    <t>https://www.tiktok.com/@shop/product/1730216955590185317</t>
  </si>
  <si>
    <t>1730064296603062629</t>
  </si>
  <si>
    <t>AL-WY2410</t>
  </si>
  <si>
    <t>https://www.tiktok.com/@shop/product/1730064296603062629</t>
  </si>
  <si>
    <t>1731902417480421733</t>
  </si>
  <si>
    <t>N26</t>
  </si>
  <si>
    <t>测试款</t>
  </si>
  <si>
    <r>
      <t>新品</t>
    </r>
    <r>
      <rPr>
        <sz val="11"/>
        <rFont val="Arial"/>
        <charset val="134"/>
      </rPr>
      <t>,</t>
    </r>
    <r>
      <rPr>
        <sz val="11"/>
        <rFont val="宋体"/>
        <charset val="134"/>
      </rPr>
      <t>滞销</t>
    </r>
  </si>
  <si>
    <t>四季</t>
  </si>
  <si>
    <t>未注册</t>
  </si>
  <si>
    <t>弯刀牛仔</t>
  </si>
  <si>
    <t>https://www.tiktok.com/@shop/product/1732187779687616869</t>
  </si>
  <si>
    <t>1732187779687616869</t>
  </si>
  <si>
    <t>AL-W0166</t>
  </si>
  <si>
    <r>
      <t>新品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,平销</t>
    </r>
  </si>
  <si>
    <t>朱佳文</t>
  </si>
  <si>
    <t>https://www.tiktok.com/@shop/product/1732209935812170085</t>
  </si>
  <si>
    <t>1732209935812170085</t>
  </si>
  <si>
    <t>新品 ,平销</t>
  </si>
  <si>
    <t>https://www.tiktok.com/@shop/product/1732020914348724581</t>
  </si>
  <si>
    <t>1732020914348724581</t>
  </si>
  <si>
    <t>AL-W5558</t>
  </si>
  <si>
    <t>新品,热销</t>
  </si>
  <si>
    <t>李昕岚</t>
  </si>
  <si>
    <t>华夫格复古水洗</t>
  </si>
  <si>
    <t>https://www.tiktok.com/@shop/product/1732020753369305445</t>
  </si>
  <si>
    <t>1732020753369305445</t>
  </si>
  <si>
    <t>https://www.tiktok.com/@shop/product/1732394029123277157</t>
  </si>
  <si>
    <t>1732098548955844965</t>
  </si>
  <si>
    <t>E24B0386</t>
  </si>
  <si>
    <t>新品,滞销</t>
  </si>
  <si>
    <t>夏</t>
  </si>
  <si>
    <t>弹力可调节肩带</t>
  </si>
  <si>
    <t>https://www.tiktok.com/@shop/product/1731902417480421733</t>
  </si>
  <si>
    <t>1732182659844116837</t>
  </si>
  <si>
    <t>https://www.tiktok.com/@shop/product/1732098548955844965</t>
  </si>
  <si>
    <t>1732230247357911397</t>
  </si>
  <si>
    <t>AL-DG6491</t>
  </si>
  <si>
    <t>https://www.tiktok.com/@shop/product/1732182659844116837</t>
  </si>
  <si>
    <t>1732251391221993829</t>
  </si>
  <si>
    <t>E25V1779</t>
  </si>
  <si>
    <r>
      <t>春</t>
    </r>
    <r>
      <rPr>
        <sz val="11"/>
        <rFont val="Arial"/>
        <charset val="134"/>
      </rPr>
      <t>,</t>
    </r>
    <r>
      <rPr>
        <sz val="11"/>
        <rFont val="宋体"/>
        <charset val="134"/>
      </rPr>
      <t>秋</t>
    </r>
  </si>
  <si>
    <t>https://www.tiktok.com/@shop/product/1732230247357911397</t>
  </si>
  <si>
    <t>1732246184753598821</t>
  </si>
  <si>
    <t>YMHF-SJJ</t>
  </si>
  <si>
    <t>https://www.tiktok.com/@shop/product/1732251391221993829</t>
  </si>
  <si>
    <t>1732272260938764645</t>
  </si>
  <si>
    <t>AL-MP016</t>
  </si>
  <si>
    <t>https://www.tiktok.com/@shop/product/1732246184753598821</t>
  </si>
  <si>
    <t>1732375613369127269</t>
  </si>
  <si>
    <t>https://www.tiktok.com/@shop/product/1732272260938764645</t>
  </si>
  <si>
    <t>1732040737338659173</t>
  </si>
  <si>
    <t>AL-W8517</t>
  </si>
  <si>
    <t>https://www.tiktok.com/@shop/product/1732375613369127269</t>
  </si>
  <si>
    <t>1732225212294271333</t>
  </si>
  <si>
    <t>https://www.tiktok.com/@shop/product/1732040737338659173</t>
  </si>
  <si>
    <t>1729505142934443365</t>
  </si>
  <si>
    <t>https://www.tiktok.com/@shop/product/1732225212294271333</t>
  </si>
  <si>
    <t>1732266528214847845</t>
  </si>
  <si>
    <t>AL-JH011</t>
  </si>
  <si>
    <t>https://www.tiktok.com/@shop/product/1729505142934443365</t>
  </si>
  <si>
    <t>1729505288586302821</t>
  </si>
  <si>
    <t>https://www.tiktok.com/@shop/product/1732266528214847845</t>
  </si>
  <si>
    <t>1732115747017101669</t>
  </si>
  <si>
    <t>AL-W7512</t>
  </si>
  <si>
    <t>https://www.tiktok.com/@shop/product/1729505288586302821</t>
  </si>
  <si>
    <t>1729505308233078117</t>
  </si>
  <si>
    <t>https://www.tiktok.com/@shop/product/1732115747017101669</t>
  </si>
  <si>
    <t>1732115971871904101</t>
  </si>
  <si>
    <t>AL-MMTZ02</t>
  </si>
  <si>
    <t>https://www.tiktok.com/@shop/product/1729505308233078117</t>
  </si>
  <si>
    <t>1729506811958826341</t>
  </si>
  <si>
    <t>https://www.tiktok.com/@shop/product/1732115971871904101</t>
  </si>
  <si>
    <t>1729476636146111845</t>
  </si>
  <si>
    <t>https://www.tiktok.com/@shop/product/1729506811958826341</t>
  </si>
  <si>
    <t>1732144874045084005</t>
  </si>
  <si>
    <t>AL-W0661</t>
  </si>
  <si>
    <t>https://www.tiktok.com/@shop/product/1729476636146111845</t>
  </si>
  <si>
    <t>1729491901597521253</t>
  </si>
  <si>
    <t>https://www.tiktok.com/@shop/product/1732144874045084005</t>
  </si>
  <si>
    <t>1729504004020540773</t>
  </si>
  <si>
    <t>https://www.tiktok.com/@shop/product/1729491901597521253</t>
  </si>
  <si>
    <t>1732145121557844325</t>
  </si>
  <si>
    <t>AL-Z01</t>
  </si>
  <si>
    <t>https://www.tiktok.com/@shop/product/1729504004020540773</t>
  </si>
  <si>
    <t>1729505097285277029</t>
  </si>
  <si>
    <t>https://www.tiktok.com/@shop/product/1732145121557844325</t>
  </si>
  <si>
    <t>1732149065312276837</t>
  </si>
  <si>
    <t>AL-W0660</t>
  </si>
  <si>
    <t>https://www.tiktok.com/@shop/product/1729505097285277029</t>
  </si>
  <si>
    <t>1732260667830014309</t>
  </si>
  <si>
    <t>https://www.tiktok.com/@shop/product/1732149065312276837</t>
  </si>
  <si>
    <t>1729503915837855077</t>
  </si>
  <si>
    <t>https://www.tiktok.com/@shop/product/1732260667830014309</t>
  </si>
  <si>
    <t>1732149265216606565</t>
  </si>
  <si>
    <t>AL-BX04</t>
  </si>
  <si>
    <t>https://www.tiktok.com/@shop/product/1729503915837855077</t>
  </si>
  <si>
    <t>1729504984450241893</t>
  </si>
  <si>
    <t>https://www.tiktok.com/@shop/product/1732149265216606565</t>
  </si>
  <si>
    <t>1732165842695065957</t>
  </si>
  <si>
    <t>AL-W0667</t>
  </si>
  <si>
    <t>黄澜、施建瑛</t>
  </si>
  <si>
    <t>https://www.tiktok.com/@shop/product/1729504984450241893</t>
  </si>
  <si>
    <t>1729504333947770213</t>
  </si>
  <si>
    <t>https://www.tiktok.com/@shop/product/1732165842695065957</t>
  </si>
  <si>
    <t>1732167774847930725</t>
  </si>
  <si>
    <t>AL-W0668</t>
  </si>
  <si>
    <t>https://www.tiktok.com/@shop/product/1729504333947770213</t>
  </si>
  <si>
    <t>1732260770620281189</t>
  </si>
  <si>
    <t>https://www.tiktok.com/@shop/product/1732167774847930725</t>
  </si>
  <si>
    <t>1729504421682582885</t>
  </si>
  <si>
    <t>https://www.tiktok.com/@shop/product/1732260770620281189</t>
  </si>
  <si>
    <t>1732196547374453093</t>
  </si>
  <si>
    <t>AL-TZ2539</t>
  </si>
  <si>
    <t>https://www.tiktok.com/@shop/product/1729504421682582885</t>
  </si>
  <si>
    <t>1732219831722938725</t>
  </si>
  <si>
    <t>AL-TZ2432</t>
  </si>
  <si>
    <t>https://www.tiktok.com/@shop/product/1732196547374453093</t>
  </si>
  <si>
    <t>1732069776864940389</t>
  </si>
  <si>
    <t>manghe</t>
  </si>
  <si>
    <t>直播赠品</t>
  </si>
  <si>
    <t>https://www.tiktok.com/@shop/product/1732219831722938725</t>
  </si>
  <si>
    <t>1732311429201236325</t>
  </si>
  <si>
    <t>AL-W1162</t>
  </si>
  <si>
    <t>https://www.tiktok.com/@shop/product/1732069776864940389</t>
  </si>
  <si>
    <t>1732311566382567781</t>
  </si>
  <si>
    <t>AL-W1165</t>
  </si>
  <si>
    <t>https://www.tiktok.com/@shop/product/1732311429201236325</t>
  </si>
  <si>
    <t>1732326936882155877</t>
  </si>
  <si>
    <t>https://www.tiktok.com/@shop/product/1732311566382567781</t>
  </si>
  <si>
    <t>1732322452170379621</t>
  </si>
  <si>
    <t>AL-W6681</t>
  </si>
  <si>
    <t>https://www.tiktok.com/@shop/product/1732326936882155877</t>
  </si>
  <si>
    <t>1732322503160271205</t>
  </si>
  <si>
    <t>AL-W1912</t>
  </si>
  <si>
    <t>https://www.tiktok.com/@shop/product/1732322452170379621</t>
  </si>
  <si>
    <t>1732355076848521573</t>
  </si>
  <si>
    <t>https://www.tiktok.com/@shop/product/1732322503160271205</t>
  </si>
  <si>
    <t>1732349403989053797</t>
  </si>
  <si>
    <t>AL-W1168</t>
  </si>
  <si>
    <t>https://www.tiktok.com/@shop/product/1732355076848521573</t>
  </si>
  <si>
    <t>1732352791814115685</t>
  </si>
  <si>
    <t>AL-W0126</t>
  </si>
  <si>
    <t>https://www.tiktok.com/@shop/product/1732349403989053797</t>
  </si>
  <si>
    <t>1732358886692000101</t>
  </si>
  <si>
    <t>AL-W0181</t>
  </si>
  <si>
    <t>杨滨羽</t>
  </si>
  <si>
    <t>https://www.tiktok.com/@shop/product/1732352791814115685</t>
  </si>
  <si>
    <t>1732358924023402853</t>
  </si>
  <si>
    <t>AL-W0575</t>
  </si>
  <si>
    <t>https://www.tiktok.com/@shop/product/1732358886692000101</t>
  </si>
  <si>
    <t>1732361451172630885</t>
  </si>
  <si>
    <t>AL-W0165</t>
  </si>
  <si>
    <t>https://www.tiktok.com/@shop/product/1732358924023402853</t>
  </si>
  <si>
    <t>1732364463186284901</t>
  </si>
  <si>
    <t>AL-W6679</t>
  </si>
  <si>
    <t>https://www.tiktok.com/@shop/product/1732361451172630885</t>
  </si>
  <si>
    <t>1732364238116393317</t>
  </si>
  <si>
    <t>AL-W6666</t>
  </si>
  <si>
    <t>https://www.tiktok.com/@shop/product/1732364463186284901</t>
  </si>
  <si>
    <t>1732364788425724261</t>
  </si>
  <si>
    <t>AL-W6680</t>
  </si>
  <si>
    <t>https://www.tiktok.com/@shop/product/1732364238116393317</t>
  </si>
  <si>
    <t>1732388385375162725</t>
  </si>
  <si>
    <t>AL-W6675</t>
  </si>
  <si>
    <t>https://www.tiktok.com/@shop/product/1732364788425724261</t>
  </si>
  <si>
    <t>1732388156517814629</t>
  </si>
  <si>
    <t>AL-W6678</t>
  </si>
  <si>
    <t>https://www.tiktok.com/@shop/product/1732388385375162725</t>
  </si>
  <si>
    <t>1732394892622205285</t>
  </si>
  <si>
    <t>AL-W6676</t>
  </si>
  <si>
    <t>https://www.tiktok.com/@shop/product/1732388156517814629</t>
  </si>
  <si>
    <t>1732394029123277157</t>
  </si>
  <si>
    <t>秋冬</t>
  </si>
  <si>
    <t>https://www.tiktok.com/@shop/product/1732394892622205285</t>
  </si>
  <si>
    <t>1732401367168291173</t>
  </si>
  <si>
    <t>AL-HANZ06</t>
  </si>
  <si>
    <t>https://www.tiktok.com/@shop/product/1732401367168291173</t>
  </si>
  <si>
    <t>1732401458480648549</t>
  </si>
  <si>
    <t>AL-HANZ03</t>
  </si>
  <si>
    <t>https://www.tiktok.com/@shop/product/1732401458480648549</t>
  </si>
  <si>
    <t>1732401458481697125</t>
  </si>
  <si>
    <t>AL-HANZ01</t>
  </si>
  <si>
    <t>https://www.tiktok.com/@shop/product/1732401458481697125</t>
  </si>
  <si>
    <t>1732426646197997925</t>
  </si>
  <si>
    <t>AL-W7780</t>
  </si>
  <si>
    <t>https://www.tiktok.com/@shop/product/1732426646197997925</t>
  </si>
  <si>
    <t>1732489017104240997</t>
  </si>
  <si>
    <t>AL-W6693</t>
  </si>
  <si>
    <t>https://www.tiktok.com/@shop/product/1732489017104240997</t>
  </si>
  <si>
    <t>1732457022542877029</t>
  </si>
  <si>
    <t>AL-C5262</t>
  </si>
  <si>
    <t>https://www.tiktok.com/@shop/product/1732457022542877029</t>
  </si>
  <si>
    <t>1732456925957296485</t>
  </si>
  <si>
    <t>AL-C5286</t>
  </si>
  <si>
    <t>https://www.tiktok.com/@shop/product/1732456925957296485</t>
  </si>
  <si>
    <t>1732457052692713829</t>
  </si>
  <si>
    <t>AL-C5287</t>
  </si>
  <si>
    <t>https://www.tiktok.com/@shop/product/1732457052692713829</t>
  </si>
  <si>
    <t>1732466690634584421</t>
  </si>
  <si>
    <t>AL-C6222B</t>
  </si>
  <si>
    <t>吴宏璟</t>
  </si>
  <si>
    <t>https://www.tiktok.com/@shop/product/1732466690634584421</t>
  </si>
  <si>
    <t>1732470539051897189</t>
  </si>
  <si>
    <t>AL-C6222D</t>
  </si>
  <si>
    <t>https://www.tiktok.com/@shop/product/1732470539051897189</t>
  </si>
  <si>
    <t>1732470551654863205</t>
  </si>
  <si>
    <t>AL-C6222F</t>
  </si>
  <si>
    <t>张安妮</t>
  </si>
  <si>
    <t>https://www.tiktok.com/@shop/product/1732470551654863205</t>
  </si>
  <si>
    <t>1732474662451056997</t>
  </si>
  <si>
    <t>AL-C6223B</t>
  </si>
  <si>
    <t>https://www.tiktok.com/@shop/product/1732474662451056997</t>
  </si>
  <si>
    <t>1732474750720184677</t>
  </si>
  <si>
    <t>AL-C6223C</t>
  </si>
  <si>
    <t>王梓涛</t>
  </si>
  <si>
    <t>https://www.tiktok.com/@shop/product/1732474750720184677</t>
  </si>
  <si>
    <t>1732478604044702053</t>
  </si>
  <si>
    <t>AL-C6225B</t>
  </si>
  <si>
    <t>黄澜</t>
  </si>
  <si>
    <t>https://www.tiktok.com/@shop/product/1732478604044702053</t>
  </si>
  <si>
    <t>1732478626808762725</t>
  </si>
  <si>
    <t>AL-C6229D</t>
  </si>
  <si>
    <t>https://www.tiktok.com/@shop/product/1732478626808762725</t>
  </si>
  <si>
    <t>1732482376758825317</t>
  </si>
  <si>
    <t>AL-C6231A</t>
  </si>
  <si>
    <t>双梦亭</t>
  </si>
  <si>
    <t>https://www.tiktok.com/@shop/product/1732482376758825317</t>
  </si>
  <si>
    <t>1732482394951553381</t>
  </si>
  <si>
    <t>AL-C6232A</t>
  </si>
  <si>
    <t>https://www.tiktok.com/@shop/product/1732482394951553381</t>
  </si>
  <si>
    <t>1732482407022104933</t>
  </si>
  <si>
    <t>AL-C6238C</t>
  </si>
  <si>
    <t>施建瑛</t>
  </si>
  <si>
    <t>https://www.tiktok.com/@shop/product/1732482407022104933</t>
  </si>
  <si>
    <t>1732482426555175269</t>
  </si>
  <si>
    <t>AL-C6251H</t>
  </si>
  <si>
    <t>https://www.tiktok.com/@shop/product/1732482426555175269</t>
  </si>
  <si>
    <t>1732422062782714213</t>
  </si>
  <si>
    <t>AL-W6725</t>
  </si>
  <si>
    <t>张安妮、施建瑛</t>
  </si>
  <si>
    <t>https://www.tiktok.com/@shop/product/1732422062782714213</t>
  </si>
  <si>
    <t>1732422118364844389</t>
  </si>
  <si>
    <t>AL-W6713</t>
  </si>
  <si>
    <t>https://www.tiktok.com/@shop/product/1732422118364844389</t>
  </si>
  <si>
    <t>1732475002782257509</t>
  </si>
  <si>
    <t>AL-W0780</t>
  </si>
  <si>
    <t>https://www.tiktok.com/@shop/product/1732475002782257509</t>
  </si>
  <si>
    <t>1732436239129743717</t>
  </si>
  <si>
    <t>AL-W6719</t>
  </si>
  <si>
    <t>https://www.tiktok.com/@shop/product/1732436239129743717</t>
  </si>
  <si>
    <t>1732445191608439141</t>
  </si>
  <si>
    <t>AL-W7569</t>
  </si>
  <si>
    <t>https://www.tiktok.com/@shop/product/1732445191608439141</t>
  </si>
  <si>
    <t>1732449121536741733</t>
  </si>
  <si>
    <t>AL-W6712</t>
  </si>
  <si>
    <t>https://www.tiktok.com/@shop/product/1732449121536741733</t>
  </si>
  <si>
    <t>1732464882783785317</t>
  </si>
  <si>
    <t>AL-W1906</t>
  </si>
  <si>
    <t>https://www.tiktok.com/@shop/product/1732464882783785317</t>
  </si>
  <si>
    <t>1732464905565540709</t>
  </si>
  <si>
    <t>AL-W1908</t>
  </si>
  <si>
    <t>https://www.tiktok.com/@shop/product/1732464905565540709</t>
  </si>
  <si>
    <t>1732480427068002661</t>
  </si>
  <si>
    <t>AL-W0781</t>
  </si>
  <si>
    <t>https://www.tiktok.com/@shop/product/1732480427068002661</t>
  </si>
  <si>
    <t>1732493078206910821</t>
  </si>
  <si>
    <t>AL-W6620</t>
  </si>
  <si>
    <t>https://www.tiktok.com/@shop/product/1732493078206910821</t>
  </si>
  <si>
    <t>Faiable Days</t>
  </si>
  <si>
    <t>1729477202485089089</t>
  </si>
  <si>
    <t>1730074254218924865</t>
  </si>
  <si>
    <t>1729557973439255361</t>
  </si>
  <si>
    <t>1730074813002519361</t>
  </si>
  <si>
    <t>1730215849898644289</t>
  </si>
  <si>
    <t>1731708662655652673</t>
  </si>
  <si>
    <t>1729477305515610945</t>
  </si>
  <si>
    <t>1729551730326016833</t>
  </si>
  <si>
    <t>AL-W0211</t>
  </si>
  <si>
    <t>1730067579663455041</t>
  </si>
  <si>
    <t>1730073695612736321</t>
  </si>
  <si>
    <t>1730064798499050305</t>
  </si>
  <si>
    <t>1730576065799230273</t>
  </si>
  <si>
    <t>1730576464737112897</t>
  </si>
  <si>
    <t>1730614856728089409</t>
  </si>
  <si>
    <t>1730631155438097217</t>
  </si>
  <si>
    <t>AL-W2492</t>
  </si>
  <si>
    <t>1731633998973276993</t>
  </si>
  <si>
    <t>AL-W7537</t>
  </si>
  <si>
    <t>1731634006967948097</t>
  </si>
  <si>
    <t>AL-W7530</t>
  </si>
  <si>
    <t>1731633959279235905</t>
  </si>
  <si>
    <t>AL-W1966</t>
  </si>
  <si>
    <t>1731633930072003393</t>
  </si>
  <si>
    <t>AL-W1965</t>
  </si>
  <si>
    <t>1731633934420579137</t>
  </si>
  <si>
    <t>AL-W0739</t>
  </si>
  <si>
    <t>1731675148817437505</t>
  </si>
  <si>
    <t>1731675175732941633</t>
  </si>
  <si>
    <t>AL-W1961</t>
  </si>
  <si>
    <t>1731708285225833281</t>
  </si>
  <si>
    <t>AL-W1962</t>
  </si>
  <si>
    <t>1731708304891614017</t>
  </si>
  <si>
    <t>AL-W0197</t>
  </si>
  <si>
    <t>1731708678232773441</t>
  </si>
  <si>
    <t>AL-W0198</t>
  </si>
  <si>
    <t>1731822827793257281</t>
  </si>
  <si>
    <t>AL-W1896</t>
  </si>
  <si>
    <t>1730076933461742401</t>
  </si>
  <si>
    <t>AL-WY2406</t>
  </si>
  <si>
    <t>1729608322932970305</t>
  </si>
  <si>
    <t>AL-JP0170</t>
  </si>
  <si>
    <t>1731817395006968641</t>
  </si>
  <si>
    <t>E24W0439</t>
  </si>
  <si>
    <t>1731817267061166913</t>
  </si>
  <si>
    <t>E24T0516</t>
  </si>
  <si>
    <t>1731817213882504001</t>
  </si>
  <si>
    <t>E24H0603</t>
  </si>
  <si>
    <t>1731818052982969153</t>
  </si>
  <si>
    <t>1731815882307441473</t>
  </si>
  <si>
    <t>E24Q0287</t>
  </si>
  <si>
    <t>1731817715679007553</t>
  </si>
  <si>
    <t>E24W0600</t>
  </si>
  <si>
    <t>1731816729590797121</t>
  </si>
  <si>
    <t>E24T0484</t>
  </si>
  <si>
    <t>1731815388330103617</t>
  </si>
  <si>
    <t>E24H0518</t>
  </si>
  <si>
    <t>1731902165867795265</t>
  </si>
  <si>
    <t>Z1806</t>
  </si>
  <si>
    <t>1731737049132077889</t>
  </si>
  <si>
    <t>FZS005-ZSCP</t>
  </si>
  <si>
    <t>1731736210059793217</t>
  </si>
  <si>
    <t>FYR016-Flower</t>
  </si>
  <si>
    <t>1731737123548795713</t>
  </si>
  <si>
    <r>
      <t>HF001-TW</t>
    </r>
    <r>
      <rPr>
        <sz val="10"/>
        <color rgb="FF000000"/>
        <rFont val="Carlito"/>
        <charset val="134"/>
      </rPr>
      <t xml:space="preserve">
</t>
    </r>
    <r>
      <rPr>
        <sz val="10"/>
        <color rgb="FF000000"/>
        <rFont val="Carlito"/>
        <charset val="134"/>
      </rPr>
      <t>HF001-CS</t>
    </r>
  </si>
  <si>
    <t>1731747637885178689</t>
  </si>
  <si>
    <t>PP005</t>
  </si>
  <si>
    <t>1731995972902949697</t>
  </si>
  <si>
    <t>1731996018253337409</t>
  </si>
  <si>
    <t>Faiable Comfywear</t>
  </si>
  <si>
    <t>1729552862134243370</t>
  </si>
  <si>
    <t>1730406615022669866</t>
  </si>
  <si>
    <t>1730731625513717802</t>
  </si>
  <si>
    <t>1730073982466953258</t>
  </si>
  <si>
    <t>1731941270275264554</t>
  </si>
  <si>
    <t>1731942257152921642</t>
  </si>
  <si>
    <t>1731952250585255978</t>
  </si>
  <si>
    <t>1730210822250598442</t>
  </si>
  <si>
    <r>
      <t>AL-SZ2405</t>
    </r>
    <r>
      <rPr>
        <sz val="10"/>
        <color rgb="FF000000"/>
        <rFont val="Carlito"/>
        <charset val="134"/>
      </rPr>
      <t xml:space="preserve">
</t>
    </r>
    <r>
      <rPr>
        <sz val="10"/>
        <color rgb="FF000000"/>
        <rFont val="Carlito"/>
        <charset val="134"/>
      </rPr>
      <t>AL-WT2404</t>
    </r>
  </si>
  <si>
    <t>1729608494787760170</t>
  </si>
  <si>
    <t>1729553028425158698</t>
  </si>
  <si>
    <t>1729548635084197930</t>
  </si>
  <si>
    <t>1731934152814399530</t>
  </si>
  <si>
    <t>1730068115010719786</t>
  </si>
  <si>
    <t>1730076674489290794</t>
  </si>
  <si>
    <t>1730575956299124778</t>
  </si>
  <si>
    <t>1730576639159603242</t>
  </si>
  <si>
    <t>1730627578650595370</t>
  </si>
  <si>
    <t>1730631160004775978</t>
  </si>
  <si>
    <t>1731634535437733930</t>
  </si>
  <si>
    <t>1731676926776610858</t>
  </si>
  <si>
    <t>1731993037739167786</t>
  </si>
  <si>
    <t>1731993745678438442</t>
  </si>
  <si>
    <t>1731995614912155690</t>
  </si>
  <si>
    <t>1731924731294158890</t>
  </si>
  <si>
    <t>1731817213980676138</t>
  </si>
  <si>
    <t>1731818094158516266</t>
  </si>
  <si>
    <t>1731816210467950634</t>
  </si>
  <si>
    <t>1731883714724335658</t>
  </si>
  <si>
    <t>MY0066</t>
  </si>
  <si>
    <t>1732023488162861098</t>
  </si>
  <si>
    <t>E25T2012</t>
  </si>
  <si>
    <t>1732027633515008042</t>
  </si>
  <si>
    <t>E25T1971</t>
  </si>
  <si>
    <t>1732031328371773482</t>
  </si>
  <si>
    <t>GQOQ</t>
  </si>
  <si>
    <t>1732031350573994026</t>
  </si>
  <si>
    <t>EKCW</t>
  </si>
  <si>
    <t>1732041740499062826</t>
  </si>
  <si>
    <t>1732157448004866090</t>
  </si>
  <si>
    <t>AL-MYBTQ</t>
  </si>
  <si>
    <t>1732167571142840362</t>
  </si>
  <si>
    <t>接口字段名</t>
  </si>
  <si>
    <t>中文名</t>
  </si>
  <si>
    <t>类型</t>
  </si>
  <si>
    <t>是否导入保存</t>
  </si>
  <si>
    <t>是否必填</t>
  </si>
  <si>
    <t>字段说明</t>
  </si>
  <si>
    <t>示例</t>
  </si>
  <si>
    <t>平台代码</t>
  </si>
  <si>
    <t>文本</t>
  </si>
  <si>
    <t>是</t>
  </si>
  <si>
    <t>所属店铺</t>
  </si>
  <si>
    <t>站点代码</t>
  </si>
  <si>
    <t>否，只读返回字段</t>
  </si>
  <si>
    <t>否</t>
  </si>
  <si>
    <t>站点代码，详情返回字段</t>
  </si>
  <si>
    <t>PID / 商品 ID</t>
  </si>
  <si>
    <t>TikTok 商品 ID / 平台商品 ID</t>
  </si>
  <si>
    <t>spu</t>
  </si>
  <si>
    <t>产品主 SPU</t>
  </si>
  <si>
    <t>SPU-001</t>
  </si>
  <si>
    <t>mainSku</t>
  </si>
  <si>
    <t>产品主 SKU</t>
  </si>
  <si>
    <t>产品主 SKU，价格归属该 SKU</t>
  </si>
  <si>
    <t>colorName</t>
  </si>
  <si>
    <t>颜色</t>
  </si>
  <si>
    <t>黑色</t>
  </si>
  <si>
    <t>sizeName</t>
  </si>
  <si>
    <t>尺码</t>
  </si>
  <si>
    <t>S</t>
  </si>
  <si>
    <t>skuNameCn</t>
  </si>
  <si>
    <t>SKU 中文名</t>
  </si>
  <si>
    <t>示例商品 黑色 S</t>
  </si>
  <si>
    <t>sellableStockQty</t>
  </si>
  <si>
    <t>可售库存</t>
  </si>
  <si>
    <t>整数</t>
  </si>
  <si>
    <t>可售库存，详情返回字段，不参与保存</t>
  </si>
  <si>
    <t>productNameCn</t>
  </si>
  <si>
    <t>产品中文名</t>
  </si>
  <si>
    <t>示例商品</t>
  </si>
  <si>
    <t>productStatus</t>
  </si>
  <si>
    <t>商品状态</t>
  </si>
  <si>
    <t>商品状态 / 销售状态</t>
  </si>
  <si>
    <t>在售</t>
  </si>
  <si>
    <t>tkAuditStatus</t>
  </si>
  <si>
    <t>TK 审核状态</t>
  </si>
  <si>
    <t>TK 审核状态，只读，不参与保存</t>
  </si>
  <si>
    <t>审核通过</t>
  </si>
  <si>
    <t>productBrand</t>
  </si>
  <si>
    <t>产品品牌</t>
  </si>
  <si>
    <t>示例品牌</t>
  </si>
  <si>
    <t>productCategory</t>
  </si>
  <si>
    <t>产品品类</t>
  </si>
  <si>
    <t>服饰</t>
  </si>
  <si>
    <t>多值文本</t>
  </si>
  <si>
    <t>商品标签，多值用英文逗号分隔</t>
  </si>
  <si>
    <t>季节标签，多值用英文逗号分隔，可填：春,夏,秋,冬</t>
  </si>
  <si>
    <t>小数</t>
  </si>
  <si>
    <t>吊牌价，保留 2 位小数</t>
  </si>
  <si>
    <t>日常折线价，保留 2 位小数</t>
  </si>
  <si>
    <t>直播间秒杀价，保留 2 位小数</t>
  </si>
  <si>
    <t>活动报名价，保留 2 位小数</t>
  </si>
  <si>
    <t>亚马逊定价，保留 2 位小数</t>
  </si>
  <si>
    <t>独立站价格，保留 2 位小数</t>
  </si>
  <si>
    <t>公开佣金比例，按接口返回格式填写，如 10.00</t>
  </si>
  <si>
    <t>定向佣金比例，按接口返回格式填写，如 12.00</t>
  </si>
  <si>
    <t>广告佣金比例，按接口返回格式填写，如 8.00</t>
  </si>
  <si>
    <t>长文本</t>
  </si>
  <si>
    <t>URL</t>
  </si>
  <si>
    <t>mainImageUrl</t>
  </si>
  <si>
    <t>主图 URL</t>
  </si>
  <si>
    <t>https://example.com/image.jpg</t>
  </si>
  <si>
    <t>源数据更新日期</t>
  </si>
  <si>
    <t>日期文本</t>
  </si>
  <si>
    <t>源数据更新日期，详情返回字段，不参与保存</t>
  </si>
  <si>
    <t>档案更新时间</t>
  </si>
  <si>
    <t>日期时间文本</t>
  </si>
  <si>
    <t>档案更新时间，详情返回字段，不参与保存</t>
  </si>
  <si>
    <t>seasonTags 可选值</t>
  </si>
  <si>
    <t>春</t>
  </si>
  <si>
    <t>秋</t>
  </si>
  <si>
    <t>冬</t>
  </si>
  <si>
    <t>填写说明</t>
  </si>
  <si>
    <t>多选时在同一个单元格内用英文逗号分隔，例如：春,夏</t>
  </si>
  <si>
    <t>只读字段来自详情返回，不参与保存导入，可留空</t>
  </si>
  <si>
    <r>
      <t>AL-W0169/53.99</t>
    </r>
    <r>
      <rPr>
        <sz val="10"/>
        <color rgb="FF1F2329"/>
        <rFont val="Carlito"/>
        <charset val="134"/>
      </rPr>
      <t xml:space="preserve">
</t>
    </r>
    <r>
      <rPr>
        <sz val="10"/>
        <color rgb="FF1F2329"/>
        <rFont val="Carlito"/>
        <charset val="134"/>
      </rPr>
      <t>AL-W0150/53.99</t>
    </r>
    <r>
      <rPr>
        <sz val="10"/>
        <color rgb="FF1F2329"/>
        <rFont val="Carlito"/>
        <charset val="134"/>
      </rPr>
      <t xml:space="preserve">
</t>
    </r>
    <r>
      <rPr>
        <sz val="10"/>
        <color rgb="FF1F2329"/>
        <rFont val="Carlito"/>
        <charset val="134"/>
      </rPr>
      <t>AL-W0190B/53.99</t>
    </r>
    <r>
      <rPr>
        <sz val="10"/>
        <color rgb="FF1F2329"/>
        <rFont val="Carlito"/>
        <charset val="134"/>
      </rPr>
      <t xml:space="preserve">
</t>
    </r>
    <r>
      <rPr>
        <sz val="10"/>
        <color rgb="FF1F2329"/>
        <rFont val="Carlito"/>
        <charset val="134"/>
      </rPr>
      <t>AL-W0161/56.99</t>
    </r>
  </si>
  <si>
    <r>
      <t>AL-W0169/53.99</t>
    </r>
    <r>
      <rPr>
        <sz val="10"/>
        <color rgb="FF1F2329"/>
        <rFont val="Carlito"/>
        <charset val="134"/>
      </rPr>
      <t xml:space="preserve">
</t>
    </r>
    <r>
      <rPr>
        <sz val="10"/>
        <color rgb="FF1F2329"/>
        <rFont val="Carlito"/>
        <charset val="134"/>
      </rPr>
      <t>AL-W0150/53.99</t>
    </r>
    <r>
      <rPr>
        <sz val="10"/>
        <color rgb="FF1F2329"/>
        <rFont val="Carlito"/>
        <charset val="134"/>
      </rPr>
      <t xml:space="preserve">
</t>
    </r>
    <r>
      <rPr>
        <sz val="10"/>
        <color rgb="FF1F2329"/>
        <rFont val="Carlito"/>
        <charset val="134"/>
      </rPr>
      <t>AL-W0190B/53.99</t>
    </r>
  </si>
  <si>
    <r>
      <t>AL-W0169/53.99</t>
    </r>
    <r>
      <rPr>
        <sz val="10"/>
        <color rgb="FF1F2329"/>
        <rFont val="Carlito"/>
        <charset val="134"/>
      </rPr>
      <t xml:space="preserve">
</t>
    </r>
    <r>
      <rPr>
        <sz val="10"/>
        <color rgb="FF1F2329"/>
        <rFont val="Carlito"/>
        <charset val="134"/>
      </rPr>
      <t>AL-W0150/53.99</t>
    </r>
    <r>
      <rPr>
        <sz val="10"/>
        <color rgb="FF1F2329"/>
        <rFont val="Carlito"/>
        <charset val="134"/>
      </rPr>
      <t xml:space="preserve">
</t>
    </r>
    <r>
      <rPr>
        <sz val="10"/>
        <color rgb="FF1F2329"/>
        <rFont val="Carlito"/>
        <charset val="134"/>
      </rPr>
      <t>AL-W0190B/53.99</t>
    </r>
    <r>
      <rPr>
        <sz val="10"/>
        <color rgb="FF1F2329"/>
        <rFont val="Carlito"/>
        <charset val="134"/>
      </rPr>
      <t xml:space="preserve">
</t>
    </r>
  </si>
  <si>
    <r>
      <t>AL-SZ2405/45.99</t>
    </r>
    <r>
      <rPr>
        <sz val="10"/>
        <color rgb="FF1F2329"/>
        <rFont val="Carlito"/>
        <charset val="134"/>
      </rPr>
      <t xml:space="preserve">
</t>
    </r>
    <r>
      <rPr>
        <sz val="10"/>
        <color rgb="FF1F2329"/>
        <rFont val="Carlito"/>
        <charset val="134"/>
      </rPr>
      <t>AL-WT2404/45.99</t>
    </r>
  </si>
  <si>
    <t>24.99/66.99</t>
  </si>
  <si>
    <t>14.99/29.99</t>
  </si>
  <si>
    <t>LT-HT83563PC/LT-HT8356</t>
  </si>
  <si>
    <t>26.99/76.99</t>
  </si>
  <si>
    <t>14.99/15.99/36.99/37.99</t>
  </si>
  <si>
    <t>AL-W0588</t>
  </si>
  <si>
    <t>E24B03863PC</t>
  </si>
  <si>
    <t>AL-EKWC</t>
  </si>
  <si>
    <t>AL-W0122</t>
  </si>
  <si>
    <t>AL-W0357</t>
  </si>
  <si>
    <t>AL-W06603PC</t>
  </si>
  <si>
    <t>AL-W6749</t>
  </si>
  <si>
    <t>AL-W0166MEN</t>
  </si>
  <si>
    <t>AL-W6751</t>
  </si>
  <si>
    <t>AL-W6752</t>
  </si>
  <si>
    <t>AL-W0580</t>
  </si>
  <si>
    <t>AL-W6603</t>
  </si>
  <si>
    <t>AL-W8006</t>
  </si>
  <si>
    <t>C-5262</t>
  </si>
  <si>
    <t>C-5286</t>
  </si>
  <si>
    <t>C-5287</t>
  </si>
  <si>
    <t>C-6222B</t>
  </si>
  <si>
    <t>C-6222D</t>
  </si>
  <si>
    <t>C-6222F</t>
  </si>
  <si>
    <t>C-6223B</t>
  </si>
  <si>
    <t>C-6223C</t>
  </si>
  <si>
    <t>C-6225B</t>
  </si>
  <si>
    <t>C-6229D</t>
  </si>
  <si>
    <t>C-6231A</t>
  </si>
  <si>
    <t>C-6232A</t>
  </si>
  <si>
    <t>C-6238C</t>
  </si>
  <si>
    <t>C-6251H</t>
  </si>
  <si>
    <t>/</t>
  </si>
  <si>
    <t>AL-W0782</t>
  </si>
  <si>
    <t>AL-W6605</t>
  </si>
  <si>
    <t>AL-W6612</t>
  </si>
  <si>
    <t>AL-W6671</t>
  </si>
  <si>
    <t>AL-W6872</t>
  </si>
  <si>
    <t>AL-W6875</t>
  </si>
  <si>
    <t>AL-W8102</t>
  </si>
  <si>
    <t>AL-W8106</t>
  </si>
  <si>
    <t>AL-W6613</t>
  </si>
  <si>
    <t>AL-W6615</t>
  </si>
  <si>
    <t>AL-W7001</t>
  </si>
  <si>
    <t>C-6231E</t>
  </si>
  <si>
    <t>69.99</t>
  </si>
  <si>
    <t>53.99</t>
  </si>
  <si>
    <t>65..99</t>
  </si>
  <si>
    <r>
      <t>AL-WT2404/37.99</t>
    </r>
    <r>
      <rPr>
        <sz val="10"/>
        <rFont val="Carlito"/>
        <charset val="134"/>
      </rPr>
      <t xml:space="preserve">
</t>
    </r>
    <r>
      <rPr>
        <sz val="10"/>
        <rFont val="Carlito"/>
        <charset val="134"/>
      </rPr>
      <t>AL-SZ2405/37.99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</si>
</sst>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name val="Carlito"/>
      <charset val="134"/>
    </font>
    <font>
      <sz val="10"/>
      <color rgb="FF000000"/>
      <name val="Carlito"/>
      <charset val="134"/>
    </font>
    <font>
      <sz val="10"/>
      <color rgb="FFB12704"/>
      <name val="Carlito"/>
      <charset val="134"/>
    </font>
    <font>
      <sz val="11"/>
      <color rgb="FF000000"/>
      <name val="Carlito"/>
      <charset val="134"/>
    </font>
    <font>
      <sz val="10"/>
      <color rgb="FF1F2329"/>
      <name val="Carlito"/>
      <charset val="134"/>
    </font>
    <font>
      <sz val="10"/>
      <name val="Carlito"/>
      <charset val="134"/>
    </font>
    <font>
      <sz val="10"/>
      <color rgb="FF373C43"/>
      <name val="Carlito"/>
      <charset val="134"/>
    </font>
    <font>
      <sz val="9"/>
      <color rgb="FF000000"/>
      <name val="Carlito"/>
      <charset val="134"/>
    </font>
    <font>
      <sz val="9"/>
      <name val="Carlito"/>
      <charset val="134"/>
    </font>
    <font>
      <sz val="11"/>
      <color rgb="FF000000"/>
      <name val="Calibri"/>
      <charset val="134"/>
    </font>
    <font>
      <sz val="9"/>
      <color rgb="FF6C6D6F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b/>
      <sz val="16"/>
      <color rgb="FFFFFFFF"/>
      <name val="Arial"/>
      <charset val="134"/>
    </font>
    <font>
      <sz val="11"/>
      <color rgb="FF1F4E79"/>
      <name val="Arial"/>
      <charset val="134"/>
    </font>
    <font>
      <b/>
      <sz val="11"/>
      <color rgb="FF17365D"/>
      <name val="Arial"/>
      <charset val="134"/>
    </font>
    <font>
      <sz val="11"/>
      <color rgb="FF7A8691"/>
      <name val="Arial"/>
      <charset val="134"/>
    </font>
    <font>
      <sz val="11"/>
      <name val="宋体"/>
      <charset val="134"/>
    </font>
    <font>
      <sz val="11"/>
      <name val="宋体"/>
      <charset val="134"/>
    </font>
    <font>
      <sz val="10"/>
      <color rgb="FF1F2329"/>
      <name val="宋体"/>
      <charset val="134"/>
    </font>
    <font>
      <sz val="11"/>
      <name val="宋体"/>
      <charset val="134"/>
    </font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4" borderId="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5" borderId="7" applyNumberFormat="0" applyAlignment="0" applyProtection="0">
      <alignment vertical="center"/>
    </xf>
    <xf numFmtId="0" fontId="34" fillId="16" borderId="8" applyNumberFormat="0" applyAlignment="0" applyProtection="0">
      <alignment vertical="center"/>
    </xf>
    <xf numFmtId="0" fontId="35" fillId="16" borderId="7" applyNumberFormat="0" applyAlignment="0" applyProtection="0">
      <alignment vertical="center"/>
    </xf>
    <xf numFmtId="0" fontId="36" fillId="17" borderId="9" applyNumberFormat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0" fillId="0" borderId="0"/>
  </cellStyleXfs>
  <cellXfs count="84">
    <xf numFmtId="0" fontId="0" fillId="0" borderId="0" xfId="49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26" fontId="1" fillId="2" borderId="1" xfId="0" applyNumberFormat="1" applyFont="1" applyFill="1" applyBorder="1" applyAlignment="1">
      <alignment horizontal="left"/>
    </xf>
    <xf numFmtId="26" fontId="2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26" fontId="3" fillId="2" borderId="1" xfId="0" applyNumberFormat="1" applyFont="1" applyFill="1" applyBorder="1" applyAlignment="1">
      <alignment horizontal="left"/>
    </xf>
    <xf numFmtId="26" fontId="4" fillId="2" borderId="1" xfId="0" applyNumberFormat="1" applyFont="1" applyFill="1" applyBorder="1" applyAlignment="1">
      <alignment horizontal="left" vertical="center"/>
    </xf>
    <xf numFmtId="26" fontId="1" fillId="2" borderId="1" xfId="0" applyNumberFormat="1" applyFont="1" applyFill="1" applyBorder="1" applyAlignment="1">
      <alignment horizontal="left" vertical="center"/>
    </xf>
    <xf numFmtId="26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49" fontId="3" fillId="0" borderId="1" xfId="0" applyNumberFormat="1" applyFont="1" applyBorder="1">
      <alignment vertical="center"/>
    </xf>
    <xf numFmtId="26" fontId="1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49" fontId="3" fillId="3" borderId="1" xfId="0" applyNumberFormat="1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6" fontId="4" fillId="0" borderId="1" xfId="0" applyNumberFormat="1" applyFont="1" applyBorder="1" applyAlignment="1">
      <alignment horizontal="left" vertical="center"/>
    </xf>
    <xf numFmtId="26" fontId="1" fillId="2" borderId="1" xfId="0" applyNumberFormat="1" applyFont="1" applyFill="1" applyBorder="1" applyAlignment="1">
      <alignment horizontal="center" vertical="center"/>
    </xf>
    <xf numFmtId="26" fontId="1" fillId="0" borderId="1" xfId="0" applyNumberFormat="1" applyFont="1" applyBorder="1" applyAlignment="1"/>
    <xf numFmtId="26" fontId="2" fillId="2" borderId="1" xfId="0" applyNumberFormat="1" applyFont="1" applyFill="1" applyBorder="1">
      <alignment vertical="center"/>
    </xf>
    <xf numFmtId="26" fontId="1" fillId="4" borderId="1" xfId="0" applyNumberFormat="1" applyFont="1" applyFill="1" applyBorder="1" applyAlignment="1"/>
    <xf numFmtId="26" fontId="1" fillId="4" borderId="1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26" fontId="3" fillId="0" borderId="1" xfId="0" applyNumberFormat="1" applyFont="1" applyBorder="1" applyAlignment="1"/>
    <xf numFmtId="26" fontId="5" fillId="0" borderId="1" xfId="0" applyNumberFormat="1" applyFont="1" applyBorder="1" applyAlignment="1">
      <alignment horizontal="left" vertical="center"/>
    </xf>
    <xf numFmtId="26" fontId="5" fillId="4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>
      <alignment vertical="center"/>
    </xf>
    <xf numFmtId="26" fontId="6" fillId="2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26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26" fontId="8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3" fillId="0" borderId="1" xfId="0" applyFont="1" applyBorder="1">
      <alignment vertical="center"/>
    </xf>
    <xf numFmtId="26" fontId="3" fillId="0" borderId="1" xfId="0" applyNumberFormat="1" applyFont="1" applyBorder="1">
      <alignment vertical="center"/>
    </xf>
    <xf numFmtId="0" fontId="1" fillId="2" borderId="1" xfId="0" applyFont="1" applyFill="1" applyBorder="1">
      <alignment vertical="center"/>
    </xf>
    <xf numFmtId="26" fontId="1" fillId="6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9" fillId="0" borderId="1" xfId="0" applyFont="1" applyBorder="1" applyAlignment="1"/>
    <xf numFmtId="0" fontId="10" fillId="7" borderId="1" xfId="0" applyFont="1" applyFill="1" applyBorder="1" applyAlignment="1">
      <alignment horizontal="left" vertical="center"/>
    </xf>
    <xf numFmtId="0" fontId="11" fillId="9" borderId="2" xfId="49" applyNumberFormat="1" applyFont="1" applyFill="1" applyBorder="1" applyAlignment="1">
      <alignment wrapText="1"/>
    </xf>
    <xf numFmtId="0" fontId="0" fillId="0" borderId="2" xfId="49" applyNumberFormat="1" applyFont="1" applyFill="1" applyBorder="1" applyAlignment="1">
      <alignment wrapText="1"/>
    </xf>
    <xf numFmtId="0" fontId="12" fillId="10" borderId="2" xfId="49" applyNumberFormat="1" applyFont="1" applyFill="1" applyBorder="1" applyAlignment="1">
      <alignment wrapText="1"/>
    </xf>
    <xf numFmtId="0" fontId="13" fillId="9" borderId="2" xfId="49" applyNumberFormat="1" applyFont="1" applyFill="1" applyBorder="1" applyAlignment="1">
      <alignment wrapText="1"/>
    </xf>
    <xf numFmtId="49" fontId="13" fillId="9" borderId="2" xfId="49" applyNumberFormat="1" applyFont="1" applyFill="1" applyBorder="1" applyAlignment="1">
      <alignment wrapText="1"/>
    </xf>
    <xf numFmtId="0" fontId="14" fillId="0" borderId="2" xfId="49" applyNumberFormat="1" applyFont="1" applyFill="1" applyBorder="1" applyAlignment="1">
      <alignment wrapText="1"/>
    </xf>
    <xf numFmtId="49" fontId="14" fillId="0" borderId="2" xfId="49" applyNumberFormat="1" applyFont="1" applyFill="1" applyBorder="1" applyAlignment="1">
      <alignment wrapText="1"/>
    </xf>
    <xf numFmtId="0" fontId="15" fillId="11" borderId="0" xfId="49" applyNumberFormat="1" applyFont="1" applyFill="1" applyBorder="1"/>
    <xf numFmtId="0" fontId="14" fillId="0" borderId="0" xfId="49" applyNumberFormat="1" applyFont="1" applyFill="1" applyBorder="1"/>
    <xf numFmtId="0" fontId="16" fillId="10" borderId="0" xfId="49" applyNumberFormat="1" applyFont="1" applyFill="1" applyBorder="1" applyAlignment="1">
      <alignment wrapText="1"/>
    </xf>
    <xf numFmtId="49" fontId="13" fillId="9" borderId="3" xfId="49" applyNumberFormat="1" applyFont="1" applyFill="1" applyBorder="1" applyAlignment="1">
      <alignment wrapText="1"/>
    </xf>
    <xf numFmtId="0" fontId="13" fillId="9" borderId="3" xfId="49" applyNumberFormat="1" applyFont="1" applyFill="1" applyBorder="1" applyAlignment="1">
      <alignment wrapText="1"/>
    </xf>
    <xf numFmtId="49" fontId="17" fillId="12" borderId="3" xfId="49" applyNumberFormat="1" applyFont="1" applyFill="1" applyBorder="1" applyAlignment="1">
      <alignment wrapText="1"/>
    </xf>
    <xf numFmtId="0" fontId="17" fillId="12" borderId="3" xfId="49" applyNumberFormat="1" applyFont="1" applyFill="1" applyBorder="1" applyAlignment="1">
      <alignment wrapText="1"/>
    </xf>
    <xf numFmtId="49" fontId="18" fillId="13" borderId="2" xfId="49" applyNumberFormat="1" applyFont="1" applyFill="1" applyBorder="1" applyAlignment="1">
      <alignment wrapText="1"/>
    </xf>
    <xf numFmtId="49" fontId="19" fillId="0" borderId="2" xfId="49" applyNumberFormat="1" applyFont="1" applyFill="1" applyBorder="1" applyAlignment="1">
      <alignment wrapText="1"/>
    </xf>
    <xf numFmtId="2" fontId="14" fillId="0" borderId="2" xfId="49" applyNumberFormat="1" applyFont="1" applyFill="1" applyBorder="1" applyAlignment="1">
      <alignment wrapText="1"/>
    </xf>
    <xf numFmtId="49" fontId="19" fillId="0" borderId="2" xfId="49" applyNumberFormat="1" applyFont="1" applyBorder="1" applyAlignment="1">
      <alignment wrapText="1"/>
    </xf>
    <xf numFmtId="49" fontId="20" fillId="0" borderId="2" xfId="49" applyNumberFormat="1" applyFont="1" applyBorder="1" applyAlignment="1">
      <alignment wrapText="1"/>
    </xf>
    <xf numFmtId="0" fontId="21" fillId="2" borderId="1" xfId="0" applyFont="1" applyFill="1" applyBorder="1" applyAlignment="1">
      <alignment horizontal="left" vertical="center"/>
    </xf>
    <xf numFmtId="49" fontId="14" fillId="0" borderId="2" xfId="49" applyNumberFormat="1" applyFont="1" applyBorder="1" applyAlignment="1">
      <alignment wrapText="1"/>
    </xf>
    <xf numFmtId="0" fontId="0" fillId="0" borderId="0" xfId="0">
      <alignment vertical="center"/>
    </xf>
    <xf numFmtId="49" fontId="22" fillId="0" borderId="2" xfId="0" applyNumberFormat="1" applyFont="1" applyBorder="1" applyAlignment="1">
      <alignment wrapText="1"/>
    </xf>
    <xf numFmtId="0" fontId="0" fillId="0" borderId="0" xfId="0" applyAlignment="1">
      <alignment vertical="center" wrapText="1"/>
    </xf>
    <xf numFmtId="49" fontId="23" fillId="0" borderId="2" xfId="49" applyNumberFormat="1" applyFont="1" applyBorder="1" applyAlignment="1">
      <alignment wrapText="1"/>
    </xf>
    <xf numFmtId="49" fontId="0" fillId="0" borderId="2" xfId="0" applyNumberFormat="1" applyBorder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0" fillId="0" borderId="0" xfId="49" quotePrefix="1"/>
    <xf numFmtId="0" fontId="3" fillId="3" borderId="1" xfId="0" applyFont="1" applyFill="1" applyBorder="1" quotePrefix="1">
      <alignment vertical="center"/>
    </xf>
    <xf numFmtId="0" fontId="0" fillId="3" borderId="1" xfId="0" applyFill="1" applyBorder="1" applyAlignment="1" quotePrefix="1">
      <alignment horizontal="center" vertical="center"/>
    </xf>
    <xf numFmtId="0" fontId="5" fillId="3" borderId="1" xfId="0" applyFont="1" applyFill="1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21"/>
  <sheetViews>
    <sheetView showGridLines="0" tabSelected="1" topLeftCell="G1" workbookViewId="0">
      <selection activeCell="L134" sqref="L134"/>
    </sheetView>
  </sheetViews>
  <sheetFormatPr defaultColWidth="9" defaultRowHeight="14.25"/>
  <cols>
    <col min="1" max="1" width="16" customWidth="1"/>
    <col min="2" max="3" width="14" customWidth="1"/>
    <col min="4" max="4" width="26" customWidth="1"/>
    <col min="5" max="5" width="23.125" customWidth="1"/>
    <col min="6" max="6" width="23.625" customWidth="1"/>
    <col min="7" max="8" width="28" customWidth="1"/>
    <col min="9" max="9" width="15" customWidth="1"/>
    <col min="10" max="10" width="14" customWidth="1"/>
    <col min="11" max="12" width="17" customWidth="1"/>
    <col min="13" max="13" width="22" customWidth="1"/>
    <col min="14" max="14" width="15" customWidth="1"/>
    <col min="15" max="17" width="14" customWidth="1"/>
    <col min="18" max="19" width="18" customWidth="1"/>
    <col min="20" max="20" width="17" customWidth="1"/>
    <col min="21" max="21" width="15" customWidth="1"/>
    <col min="22" max="22" width="14" customWidth="1"/>
    <col min="23" max="24" width="24" customWidth="1"/>
    <col min="25" max="25" width="20" customWidth="1"/>
    <col min="26" max="27" width="22" customWidth="1"/>
    <col min="28" max="28" width="24" customWidth="1"/>
    <col min="29" max="29" width="19" customWidth="1"/>
    <col min="30" max="30" width="26.5" customWidth="1"/>
    <col min="31" max="32" width="18" customWidth="1"/>
    <col min="33" max="33" width="20" customWidth="1"/>
    <col min="34" max="34" width="16" customWidth="1"/>
  </cols>
  <sheetData>
    <row r="1" ht="28" customHeight="1" spans="1:34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ht="30" customHeight="1" spans="1:34">
      <c r="A2" s="64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</row>
    <row r="3" ht="15" spans="1:34">
      <c r="A3" s="65" t="s">
        <v>2</v>
      </c>
      <c r="B3" s="65" t="s">
        <v>3</v>
      </c>
      <c r="C3" s="65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65" t="s">
        <v>9</v>
      </c>
      <c r="I3" s="65" t="s">
        <v>10</v>
      </c>
      <c r="J3" s="65" t="s">
        <v>11</v>
      </c>
      <c r="K3" s="65" t="s">
        <v>12</v>
      </c>
      <c r="L3" s="65" t="s">
        <v>13</v>
      </c>
      <c r="M3" s="65" t="s">
        <v>14</v>
      </c>
      <c r="N3" s="65" t="s">
        <v>15</v>
      </c>
      <c r="O3" s="65" t="s">
        <v>16</v>
      </c>
      <c r="P3" s="65" t="s">
        <v>17</v>
      </c>
      <c r="Q3" s="66" t="s">
        <v>18</v>
      </c>
      <c r="R3" s="66" t="s">
        <v>19</v>
      </c>
      <c r="S3" s="66" t="s">
        <v>20</v>
      </c>
      <c r="T3" s="66" t="s">
        <v>21</v>
      </c>
      <c r="U3" s="66" t="s">
        <v>22</v>
      </c>
      <c r="V3" s="66" t="s">
        <v>23</v>
      </c>
      <c r="W3" s="66" t="s">
        <v>24</v>
      </c>
      <c r="X3" s="66" t="s">
        <v>25</v>
      </c>
      <c r="Y3" s="66" t="s">
        <v>26</v>
      </c>
      <c r="Z3" s="65" t="s">
        <v>27</v>
      </c>
      <c r="AA3" s="65" t="s">
        <v>28</v>
      </c>
      <c r="AB3" s="65" t="s">
        <v>29</v>
      </c>
      <c r="AC3" s="65" t="s">
        <v>30</v>
      </c>
      <c r="AD3" s="65" t="s">
        <v>31</v>
      </c>
      <c r="AE3" s="65" t="s">
        <v>32</v>
      </c>
      <c r="AF3" s="65" t="s">
        <v>33</v>
      </c>
      <c r="AG3" s="65" t="s">
        <v>34</v>
      </c>
      <c r="AH3" s="65" t="s">
        <v>35</v>
      </c>
    </row>
    <row r="4" ht="42" customHeight="1" spans="1:34">
      <c r="A4" s="67" t="s">
        <v>36</v>
      </c>
      <c r="B4" s="67" t="s">
        <v>37</v>
      </c>
      <c r="C4" s="67" t="s">
        <v>38</v>
      </c>
      <c r="D4" s="67" t="s">
        <v>39</v>
      </c>
      <c r="E4" s="67" t="s">
        <v>40</v>
      </c>
      <c r="F4" s="67" t="s">
        <v>41</v>
      </c>
      <c r="G4" s="67" t="s">
        <v>42</v>
      </c>
      <c r="H4" s="67" t="s">
        <v>43</v>
      </c>
      <c r="I4" s="67" t="s">
        <v>44</v>
      </c>
      <c r="J4" s="67" t="s">
        <v>45</v>
      </c>
      <c r="K4" s="67" t="s">
        <v>46</v>
      </c>
      <c r="L4" s="67" t="s">
        <v>47</v>
      </c>
      <c r="M4" s="67" t="s">
        <v>48</v>
      </c>
      <c r="N4" s="67" t="s">
        <v>49</v>
      </c>
      <c r="O4" s="67" t="s">
        <v>50</v>
      </c>
      <c r="P4" s="67" t="s">
        <v>51</v>
      </c>
      <c r="Q4" s="68" t="s">
        <v>52</v>
      </c>
      <c r="R4" s="68" t="s">
        <v>53</v>
      </c>
      <c r="S4" s="68" t="s">
        <v>54</v>
      </c>
      <c r="T4" s="68" t="s">
        <v>55</v>
      </c>
      <c r="U4" s="68" t="s">
        <v>56</v>
      </c>
      <c r="V4" s="68" t="s">
        <v>57</v>
      </c>
      <c r="W4" s="68" t="s">
        <v>58</v>
      </c>
      <c r="X4" s="68" t="s">
        <v>59</v>
      </c>
      <c r="Y4" s="68" t="s">
        <v>60</v>
      </c>
      <c r="Z4" s="67" t="s">
        <v>61</v>
      </c>
      <c r="AA4" s="67" t="s">
        <v>62</v>
      </c>
      <c r="AB4" s="67" t="s">
        <v>63</v>
      </c>
      <c r="AC4" s="67" t="s">
        <v>64</v>
      </c>
      <c r="AD4" s="67" t="s">
        <v>65</v>
      </c>
      <c r="AE4" s="67" t="s">
        <v>66</v>
      </c>
      <c r="AF4" s="67" t="s">
        <v>67</v>
      </c>
      <c r="AG4" s="67" t="s">
        <v>68</v>
      </c>
      <c r="AH4" s="67" t="s">
        <v>69</v>
      </c>
    </row>
    <row r="5" ht="28.5" spans="1:34">
      <c r="A5" s="61" t="s">
        <v>70</v>
      </c>
      <c r="B5" s="61" t="s">
        <v>71</v>
      </c>
      <c r="C5" s="69" t="s">
        <v>72</v>
      </c>
      <c r="D5" s="61" t="s">
        <v>73</v>
      </c>
      <c r="E5" s="61" t="s">
        <v>74</v>
      </c>
      <c r="F5" s="70" t="s">
        <v>75</v>
      </c>
      <c r="G5" s="61" t="s">
        <v>76</v>
      </c>
      <c r="H5" s="61" t="s">
        <v>77</v>
      </c>
      <c r="I5" s="61" t="s">
        <v>78</v>
      </c>
      <c r="J5" s="61" t="s">
        <v>79</v>
      </c>
      <c r="K5" s="61" t="s">
        <v>80</v>
      </c>
      <c r="L5" s="61" t="s">
        <v>81</v>
      </c>
      <c r="M5" s="61" t="s">
        <v>82</v>
      </c>
      <c r="N5" s="61" t="s">
        <v>83</v>
      </c>
      <c r="O5" s="61" t="s">
        <v>84</v>
      </c>
      <c r="P5" s="61" t="s">
        <v>85</v>
      </c>
      <c r="Q5" s="71">
        <v>29.99</v>
      </c>
      <c r="R5" s="71">
        <v>24.99</v>
      </c>
      <c r="S5" s="71">
        <v>19.99</v>
      </c>
      <c r="T5" s="71">
        <v>21.99</v>
      </c>
      <c r="U5" s="71">
        <v>32.99</v>
      </c>
      <c r="V5" s="71">
        <v>27.99</v>
      </c>
      <c r="W5" s="71">
        <v>10</v>
      </c>
      <c r="X5" s="71">
        <v>12</v>
      </c>
      <c r="Y5" s="71">
        <v>8</v>
      </c>
      <c r="Z5" s="61" t="s">
        <v>86</v>
      </c>
      <c r="AA5" s="61" t="s">
        <v>87</v>
      </c>
      <c r="AB5" s="61" t="s">
        <v>88</v>
      </c>
      <c r="AC5" s="61" t="s">
        <v>89</v>
      </c>
      <c r="AD5" s="61" t="s">
        <v>90</v>
      </c>
      <c r="AE5" s="61" t="s">
        <v>91</v>
      </c>
      <c r="AF5" s="61" t="s">
        <v>92</v>
      </c>
      <c r="AG5" s="69" t="s">
        <v>93</v>
      </c>
      <c r="AH5" s="69" t="s">
        <v>94</v>
      </c>
    </row>
    <row r="6" ht="57" spans="1:34">
      <c r="A6" s="61" t="s">
        <v>70</v>
      </c>
      <c r="B6" s="38" t="s">
        <v>95</v>
      </c>
      <c r="C6" s="69" t="s">
        <v>72</v>
      </c>
      <c r="D6" s="61" t="s">
        <v>96</v>
      </c>
      <c r="E6" s="38" t="s">
        <v>97</v>
      </c>
      <c r="F6" s="70" t="s">
        <v>75</v>
      </c>
      <c r="G6" s="61" t="s">
        <v>76</v>
      </c>
      <c r="H6" s="61" t="s">
        <v>77</v>
      </c>
      <c r="I6" s="70" t="s">
        <v>98</v>
      </c>
      <c r="J6" s="70" t="s">
        <v>99</v>
      </c>
      <c r="K6" s="70" t="s">
        <v>100</v>
      </c>
      <c r="L6" s="72" t="s">
        <v>101</v>
      </c>
      <c r="M6" s="73" t="s">
        <v>102</v>
      </c>
      <c r="N6" s="73" t="s">
        <v>103</v>
      </c>
      <c r="O6" s="61" t="s">
        <v>104</v>
      </c>
      <c r="P6" s="70" t="s">
        <v>100</v>
      </c>
      <c r="Q6" s="71">
        <f>VLOOKUP(E6,Sheet1!A:C,2,0)</f>
        <v>99.99</v>
      </c>
      <c r="R6" s="71" t="str">
        <f>VLOOKUP(E6,Sheet1!A:C,3,0)</f>
        <v>AL-W0169/53.99
AL-W0150/53.99
AL-W0190B/53.99
AL-W0161/56.99</v>
      </c>
      <c r="S6" s="71" t="str">
        <f>R6</f>
        <v>AL-W0169/53.99
AL-W0150/53.99
AL-W0190B/53.99
AL-W0161/56.99</v>
      </c>
      <c r="T6" s="71" t="str">
        <f>S6</f>
        <v>AL-W0169/53.99
AL-W0150/53.99
AL-W0190B/53.99
AL-W0161/56.99</v>
      </c>
      <c r="U6" s="71">
        <v>53.99</v>
      </c>
      <c r="V6" s="71">
        <v>53.99</v>
      </c>
      <c r="W6" s="71">
        <v>5</v>
      </c>
      <c r="X6" s="71">
        <v>10</v>
      </c>
      <c r="Y6" s="71">
        <v>5</v>
      </c>
      <c r="Z6" s="61" t="s">
        <v>86</v>
      </c>
      <c r="AA6" s="61" t="s">
        <v>87</v>
      </c>
      <c r="AB6" s="70" t="s">
        <v>105</v>
      </c>
      <c r="AC6" s="61" t="s">
        <v>104</v>
      </c>
      <c r="AD6" s="61" t="s">
        <v>106</v>
      </c>
      <c r="AE6" s="61" t="s">
        <v>104</v>
      </c>
      <c r="AF6" s="61" t="s">
        <v>104</v>
      </c>
      <c r="AG6" s="69" t="s">
        <v>104</v>
      </c>
      <c r="AH6" s="69" t="s">
        <v>104</v>
      </c>
    </row>
    <row r="7" ht="57" spans="1:34">
      <c r="A7" s="61" t="s">
        <v>70</v>
      </c>
      <c r="B7" s="38" t="s">
        <v>95</v>
      </c>
      <c r="C7" s="69" t="s">
        <v>72</v>
      </c>
      <c r="D7" s="61" t="s">
        <v>107</v>
      </c>
      <c r="E7" s="38" t="s">
        <v>97</v>
      </c>
      <c r="F7" s="70" t="s">
        <v>108</v>
      </c>
      <c r="G7" s="61" t="s">
        <v>109</v>
      </c>
      <c r="H7" s="70" t="s">
        <v>110</v>
      </c>
      <c r="I7" s="70" t="s">
        <v>111</v>
      </c>
      <c r="J7" s="70" t="s">
        <v>112</v>
      </c>
      <c r="K7" s="70" t="s">
        <v>100</v>
      </c>
      <c r="L7" s="72" t="s">
        <v>101</v>
      </c>
      <c r="M7" s="73" t="s">
        <v>102</v>
      </c>
      <c r="N7" s="73" t="s">
        <v>113</v>
      </c>
      <c r="O7" s="61" t="s">
        <v>104</v>
      </c>
      <c r="P7" s="70" t="s">
        <v>100</v>
      </c>
      <c r="Q7" s="71">
        <f>VLOOKUP(E7,Sheet1!A:C,2,0)</f>
        <v>99.99</v>
      </c>
      <c r="R7" s="71" t="str">
        <f>VLOOKUP(E7,Sheet1!A:C,3,0)</f>
        <v>AL-W0169/53.99
AL-W0150/53.99
AL-W0190B/53.99
AL-W0161/56.99</v>
      </c>
      <c r="S7" s="71" t="str">
        <f t="shared" ref="S7:S24" si="0">R7</f>
        <v>AL-W0169/53.99
AL-W0150/53.99
AL-W0190B/53.99
AL-W0161/56.99</v>
      </c>
      <c r="T7" s="71" t="str">
        <f t="shared" ref="T7:T38" si="1">S7</f>
        <v>AL-W0169/53.99
AL-W0150/53.99
AL-W0190B/53.99
AL-W0161/56.99</v>
      </c>
      <c r="U7" s="71">
        <v>53.99</v>
      </c>
      <c r="V7" s="71">
        <v>53.99</v>
      </c>
      <c r="W7" s="71">
        <v>5</v>
      </c>
      <c r="X7" s="71">
        <v>10</v>
      </c>
      <c r="Y7" s="71">
        <v>5</v>
      </c>
      <c r="Z7" s="61" t="s">
        <v>86</v>
      </c>
      <c r="AA7" s="61" t="s">
        <v>87</v>
      </c>
      <c r="AB7" s="70" t="s">
        <v>105</v>
      </c>
      <c r="AC7" s="61" t="s">
        <v>104</v>
      </c>
      <c r="AD7" s="61" t="s">
        <v>114</v>
      </c>
      <c r="AE7" s="61" t="s">
        <v>104</v>
      </c>
      <c r="AF7" s="61" t="s">
        <v>104</v>
      </c>
      <c r="AG7" s="69" t="s">
        <v>104</v>
      </c>
      <c r="AH7" s="69" t="s">
        <v>104</v>
      </c>
    </row>
    <row r="8" ht="57" spans="1:34">
      <c r="A8" s="61" t="s">
        <v>70</v>
      </c>
      <c r="B8" s="38" t="s">
        <v>95</v>
      </c>
      <c r="C8" s="69" t="s">
        <v>72</v>
      </c>
      <c r="D8" s="61" t="s">
        <v>115</v>
      </c>
      <c r="E8" s="38" t="s">
        <v>97</v>
      </c>
      <c r="F8" s="74" t="s">
        <v>116</v>
      </c>
      <c r="G8" s="61" t="s">
        <v>117</v>
      </c>
      <c r="H8" s="70" t="s">
        <v>118</v>
      </c>
      <c r="I8" s="61" t="s">
        <v>119</v>
      </c>
      <c r="J8" s="70" t="s">
        <v>112</v>
      </c>
      <c r="K8" s="70" t="s">
        <v>100</v>
      </c>
      <c r="L8" s="72" t="s">
        <v>101</v>
      </c>
      <c r="M8" s="73" t="s">
        <v>102</v>
      </c>
      <c r="N8" s="73" t="s">
        <v>113</v>
      </c>
      <c r="O8" s="61" t="s">
        <v>104</v>
      </c>
      <c r="P8" s="70" t="s">
        <v>100</v>
      </c>
      <c r="Q8" s="71">
        <f>VLOOKUP(E8,Sheet1!A:C,2,0)</f>
        <v>99.99</v>
      </c>
      <c r="R8" s="71" t="str">
        <f>VLOOKUP(E8,Sheet1!A:C,3,0)</f>
        <v>AL-W0169/53.99
AL-W0150/53.99
AL-W0190B/53.99
AL-W0161/56.99</v>
      </c>
      <c r="S8" s="71" t="str">
        <f t="shared" si="0"/>
        <v>AL-W0169/53.99
AL-W0150/53.99
AL-W0190B/53.99
AL-W0161/56.99</v>
      </c>
      <c r="T8" s="71" t="str">
        <f t="shared" si="1"/>
        <v>AL-W0169/53.99
AL-W0150/53.99
AL-W0190B/53.99
AL-W0161/56.99</v>
      </c>
      <c r="U8" s="71">
        <v>53.99</v>
      </c>
      <c r="V8" s="71">
        <v>53.99</v>
      </c>
      <c r="W8" s="71">
        <v>5</v>
      </c>
      <c r="X8" s="71">
        <v>10</v>
      </c>
      <c r="Y8" s="71">
        <v>5</v>
      </c>
      <c r="Z8" s="61" t="s">
        <v>86</v>
      </c>
      <c r="AA8" s="61" t="s">
        <v>87</v>
      </c>
      <c r="AB8" s="70" t="s">
        <v>105</v>
      </c>
      <c r="AC8" s="61" t="s">
        <v>104</v>
      </c>
      <c r="AD8" s="61" t="s">
        <v>120</v>
      </c>
      <c r="AE8" s="61" t="s">
        <v>104</v>
      </c>
      <c r="AF8" s="61" t="s">
        <v>104</v>
      </c>
      <c r="AG8" s="69" t="s">
        <v>104</v>
      </c>
      <c r="AH8" s="69" t="s">
        <v>104</v>
      </c>
    </row>
    <row r="9" ht="57" spans="1:34">
      <c r="A9" s="61" t="s">
        <v>70</v>
      </c>
      <c r="B9" s="38" t="s">
        <v>95</v>
      </c>
      <c r="C9" s="69" t="s">
        <v>72</v>
      </c>
      <c r="D9" s="61" t="s">
        <v>121</v>
      </c>
      <c r="E9" s="38" t="s">
        <v>97</v>
      </c>
      <c r="F9" s="74" t="s">
        <v>116</v>
      </c>
      <c r="G9" s="61" t="s">
        <v>117</v>
      </c>
      <c r="H9" s="70" t="s">
        <v>118</v>
      </c>
      <c r="I9" s="61" t="s">
        <v>119</v>
      </c>
      <c r="J9" s="70" t="s">
        <v>112</v>
      </c>
      <c r="K9" s="70" t="s">
        <v>100</v>
      </c>
      <c r="L9" s="72" t="s">
        <v>101</v>
      </c>
      <c r="M9" s="73" t="s">
        <v>102</v>
      </c>
      <c r="N9" s="73" t="s">
        <v>113</v>
      </c>
      <c r="O9" s="61" t="s">
        <v>104</v>
      </c>
      <c r="P9" s="70" t="s">
        <v>100</v>
      </c>
      <c r="Q9" s="71">
        <f>VLOOKUP(E9,Sheet1!A:C,2,0)</f>
        <v>99.99</v>
      </c>
      <c r="R9" s="71" t="str">
        <f>VLOOKUP(E9,Sheet1!A:C,3,0)</f>
        <v>AL-W0169/53.99
AL-W0150/53.99
AL-W0190B/53.99
AL-W0161/56.99</v>
      </c>
      <c r="S9" s="71" t="str">
        <f t="shared" si="0"/>
        <v>AL-W0169/53.99
AL-W0150/53.99
AL-W0190B/53.99
AL-W0161/56.99</v>
      </c>
      <c r="T9" s="71" t="str">
        <f t="shared" si="1"/>
        <v>AL-W0169/53.99
AL-W0150/53.99
AL-W0190B/53.99
AL-W0161/56.99</v>
      </c>
      <c r="U9" s="71">
        <v>53.99</v>
      </c>
      <c r="V9" s="71">
        <v>53.99</v>
      </c>
      <c r="W9" s="71">
        <v>5</v>
      </c>
      <c r="X9" s="71">
        <v>10</v>
      </c>
      <c r="Y9" s="71">
        <v>5</v>
      </c>
      <c r="Z9" s="61" t="s">
        <v>86</v>
      </c>
      <c r="AA9" s="61" t="s">
        <v>87</v>
      </c>
      <c r="AB9" s="70" t="s">
        <v>105</v>
      </c>
      <c r="AC9" s="61" t="s">
        <v>104</v>
      </c>
      <c r="AD9" s="61" t="s">
        <v>122</v>
      </c>
      <c r="AE9" s="61" t="s">
        <v>104</v>
      </c>
      <c r="AF9" s="61" t="s">
        <v>104</v>
      </c>
      <c r="AG9" s="69" t="s">
        <v>104</v>
      </c>
      <c r="AH9" s="69" t="s">
        <v>104</v>
      </c>
    </row>
    <row r="10" ht="57" spans="1:34">
      <c r="A10" s="61" t="s">
        <v>70</v>
      </c>
      <c r="B10" s="38" t="s">
        <v>95</v>
      </c>
      <c r="C10" s="69" t="s">
        <v>72</v>
      </c>
      <c r="D10" s="61" t="s">
        <v>123</v>
      </c>
      <c r="E10" s="38" t="s">
        <v>97</v>
      </c>
      <c r="F10" s="74" t="s">
        <v>116</v>
      </c>
      <c r="G10" s="61" t="s">
        <v>117</v>
      </c>
      <c r="H10" s="70" t="s">
        <v>118</v>
      </c>
      <c r="I10" s="61" t="s">
        <v>119</v>
      </c>
      <c r="J10" s="70" t="s">
        <v>112</v>
      </c>
      <c r="K10" s="70" t="s">
        <v>100</v>
      </c>
      <c r="L10" s="72" t="s">
        <v>101</v>
      </c>
      <c r="M10" s="73" t="s">
        <v>102</v>
      </c>
      <c r="N10" s="73" t="s">
        <v>113</v>
      </c>
      <c r="O10" s="61" t="s">
        <v>104</v>
      </c>
      <c r="P10" s="70" t="s">
        <v>100</v>
      </c>
      <c r="Q10" s="71">
        <f>VLOOKUP(E10,Sheet1!A:C,2,0)</f>
        <v>99.99</v>
      </c>
      <c r="R10" s="71" t="str">
        <f>VLOOKUP(E10,Sheet1!A:C,3,0)</f>
        <v>AL-W0169/53.99
AL-W0150/53.99
AL-W0190B/53.99
AL-W0161/56.99</v>
      </c>
      <c r="S10" s="71" t="str">
        <f t="shared" si="0"/>
        <v>AL-W0169/53.99
AL-W0150/53.99
AL-W0190B/53.99
AL-W0161/56.99</v>
      </c>
      <c r="T10" s="71" t="str">
        <f t="shared" si="1"/>
        <v>AL-W0169/53.99
AL-W0150/53.99
AL-W0190B/53.99
AL-W0161/56.99</v>
      </c>
      <c r="U10" s="71">
        <v>53.99</v>
      </c>
      <c r="V10" s="71">
        <v>53.99</v>
      </c>
      <c r="W10" s="71">
        <v>5</v>
      </c>
      <c r="X10" s="71">
        <v>10</v>
      </c>
      <c r="Y10" s="71">
        <v>5</v>
      </c>
      <c r="Z10" s="61" t="s">
        <v>86</v>
      </c>
      <c r="AA10" s="61" t="s">
        <v>87</v>
      </c>
      <c r="AB10" s="70" t="s">
        <v>105</v>
      </c>
      <c r="AC10" s="61" t="s">
        <v>104</v>
      </c>
      <c r="AD10" s="61" t="s">
        <v>124</v>
      </c>
      <c r="AE10" s="61" t="s">
        <v>104</v>
      </c>
      <c r="AF10" s="61" t="s">
        <v>104</v>
      </c>
      <c r="AG10" s="69" t="s">
        <v>104</v>
      </c>
      <c r="AH10" s="69" t="s">
        <v>104</v>
      </c>
    </row>
    <row r="11" ht="57" spans="1:34">
      <c r="A11" s="61" t="s">
        <v>70</v>
      </c>
      <c r="B11" s="38" t="s">
        <v>95</v>
      </c>
      <c r="C11" s="69" t="s">
        <v>72</v>
      </c>
      <c r="D11" s="61" t="s">
        <v>125</v>
      </c>
      <c r="E11" s="38" t="s">
        <v>97</v>
      </c>
      <c r="F11" s="74" t="s">
        <v>116</v>
      </c>
      <c r="G11" s="61" t="s">
        <v>117</v>
      </c>
      <c r="H11" s="70" t="s">
        <v>118</v>
      </c>
      <c r="I11" s="61" t="s">
        <v>119</v>
      </c>
      <c r="J11" s="70" t="s">
        <v>112</v>
      </c>
      <c r="K11" s="70" t="s">
        <v>100</v>
      </c>
      <c r="L11" s="72" t="s">
        <v>101</v>
      </c>
      <c r="M11" s="73" t="s">
        <v>102</v>
      </c>
      <c r="N11" s="73" t="s">
        <v>113</v>
      </c>
      <c r="O11" s="61" t="s">
        <v>104</v>
      </c>
      <c r="P11" s="70" t="s">
        <v>100</v>
      </c>
      <c r="Q11" s="71">
        <f>VLOOKUP(E11,Sheet1!A:C,2,0)</f>
        <v>99.99</v>
      </c>
      <c r="R11" s="71" t="str">
        <f>VLOOKUP(E11,Sheet1!A:C,3,0)</f>
        <v>AL-W0169/53.99
AL-W0150/53.99
AL-W0190B/53.99
AL-W0161/56.99</v>
      </c>
      <c r="S11" s="71" t="str">
        <f t="shared" si="0"/>
        <v>AL-W0169/53.99
AL-W0150/53.99
AL-W0190B/53.99
AL-W0161/56.99</v>
      </c>
      <c r="T11" s="71" t="str">
        <f t="shared" si="1"/>
        <v>AL-W0169/53.99
AL-W0150/53.99
AL-W0190B/53.99
AL-W0161/56.99</v>
      </c>
      <c r="U11" s="71">
        <v>53.99</v>
      </c>
      <c r="V11" s="71">
        <v>53.99</v>
      </c>
      <c r="W11" s="71">
        <v>5</v>
      </c>
      <c r="X11" s="71">
        <v>10</v>
      </c>
      <c r="Y11" s="71">
        <v>5</v>
      </c>
      <c r="Z11" s="61" t="s">
        <v>86</v>
      </c>
      <c r="AA11" s="61" t="s">
        <v>87</v>
      </c>
      <c r="AB11" s="70" t="s">
        <v>105</v>
      </c>
      <c r="AC11" s="61" t="s">
        <v>104</v>
      </c>
      <c r="AD11" s="61" t="s">
        <v>126</v>
      </c>
      <c r="AE11" s="61" t="s">
        <v>104</v>
      </c>
      <c r="AF11" s="61" t="s">
        <v>104</v>
      </c>
      <c r="AG11" s="69" t="s">
        <v>104</v>
      </c>
      <c r="AH11" s="69" t="s">
        <v>104</v>
      </c>
    </row>
    <row r="12" ht="57" spans="1:34">
      <c r="A12" s="61" t="s">
        <v>70</v>
      </c>
      <c r="B12" s="38" t="s">
        <v>95</v>
      </c>
      <c r="C12" s="69" t="s">
        <v>72</v>
      </c>
      <c r="D12" s="61" t="s">
        <v>127</v>
      </c>
      <c r="E12" s="38" t="s">
        <v>128</v>
      </c>
      <c r="F12" s="70" t="s">
        <v>129</v>
      </c>
      <c r="G12" s="61" t="s">
        <v>76</v>
      </c>
      <c r="H12" s="61" t="s">
        <v>77</v>
      </c>
      <c r="I12" s="70" t="s">
        <v>98</v>
      </c>
      <c r="J12" s="70" t="s">
        <v>99</v>
      </c>
      <c r="K12" s="70" t="s">
        <v>100</v>
      </c>
      <c r="L12" s="72" t="s">
        <v>130</v>
      </c>
      <c r="M12" s="73" t="s">
        <v>102</v>
      </c>
      <c r="N12" s="73" t="s">
        <v>113</v>
      </c>
      <c r="O12" s="61" t="s">
        <v>104</v>
      </c>
      <c r="P12" s="70" t="s">
        <v>100</v>
      </c>
      <c r="Q12" s="71">
        <f>VLOOKUP(E12,Sheet1!A:C,2,0)</f>
        <v>99.99</v>
      </c>
      <c r="R12" s="71" t="str">
        <f>VLOOKUP(E12,Sheet1!A:C,3,0)</f>
        <v>AL-W0169/53.99
AL-W0150/53.99
AL-W0190B/53.99
AL-W0161/56.99</v>
      </c>
      <c r="S12" s="71" t="str">
        <f t="shared" si="0"/>
        <v>AL-W0169/53.99
AL-W0150/53.99
AL-W0190B/53.99
AL-W0161/56.99</v>
      </c>
      <c r="T12" s="71" t="str">
        <f t="shared" si="1"/>
        <v>AL-W0169/53.99
AL-W0150/53.99
AL-W0190B/53.99
AL-W0161/56.99</v>
      </c>
      <c r="U12" s="71">
        <v>56.99</v>
      </c>
      <c r="V12" s="71">
        <v>56.99</v>
      </c>
      <c r="W12" s="71">
        <v>5</v>
      </c>
      <c r="X12" s="71">
        <v>10</v>
      </c>
      <c r="Y12" s="71">
        <v>5</v>
      </c>
      <c r="Z12" s="61" t="s">
        <v>86</v>
      </c>
      <c r="AA12" s="61" t="s">
        <v>87</v>
      </c>
      <c r="AB12" s="70" t="s">
        <v>131</v>
      </c>
      <c r="AC12" s="61" t="s">
        <v>104</v>
      </c>
      <c r="AD12" s="61" t="s">
        <v>132</v>
      </c>
      <c r="AE12" s="61" t="s">
        <v>104</v>
      </c>
      <c r="AF12" s="61" t="s">
        <v>104</v>
      </c>
      <c r="AG12" s="69" t="s">
        <v>104</v>
      </c>
      <c r="AH12" s="69" t="s">
        <v>104</v>
      </c>
    </row>
    <row r="13" ht="57" spans="1:34">
      <c r="A13" s="61" t="s">
        <v>70</v>
      </c>
      <c r="B13" s="38" t="s">
        <v>95</v>
      </c>
      <c r="C13" s="69" t="s">
        <v>72</v>
      </c>
      <c r="D13" s="61" t="s">
        <v>133</v>
      </c>
      <c r="E13" s="38" t="s">
        <v>128</v>
      </c>
      <c r="F13" s="70" t="s">
        <v>134</v>
      </c>
      <c r="G13" s="61" t="s">
        <v>76</v>
      </c>
      <c r="H13" s="61" t="s">
        <v>77</v>
      </c>
      <c r="I13" s="70" t="s">
        <v>98</v>
      </c>
      <c r="J13" s="70" t="s">
        <v>99</v>
      </c>
      <c r="K13" s="70" t="s">
        <v>100</v>
      </c>
      <c r="L13" s="75" t="s">
        <v>130</v>
      </c>
      <c r="M13" s="73" t="s">
        <v>102</v>
      </c>
      <c r="N13" s="73" t="s">
        <v>103</v>
      </c>
      <c r="O13" s="61" t="s">
        <v>104</v>
      </c>
      <c r="P13" s="70" t="s">
        <v>100</v>
      </c>
      <c r="Q13" s="71">
        <f>VLOOKUP(E13,Sheet1!A:C,2,0)</f>
        <v>99.99</v>
      </c>
      <c r="R13" s="71" t="str">
        <f>VLOOKUP(E13,Sheet1!A:C,3,0)</f>
        <v>AL-W0169/53.99
AL-W0150/53.99
AL-W0190B/53.99
AL-W0161/56.99</v>
      </c>
      <c r="S13" s="71" t="str">
        <f t="shared" si="0"/>
        <v>AL-W0169/53.99
AL-W0150/53.99
AL-W0190B/53.99
AL-W0161/56.99</v>
      </c>
      <c r="T13" s="71" t="str">
        <f t="shared" si="1"/>
        <v>AL-W0169/53.99
AL-W0150/53.99
AL-W0190B/53.99
AL-W0161/56.99</v>
      </c>
      <c r="U13" s="71">
        <v>56.99</v>
      </c>
      <c r="V13" s="71">
        <v>56.99</v>
      </c>
      <c r="W13" s="71">
        <v>5</v>
      </c>
      <c r="X13" s="71">
        <v>10</v>
      </c>
      <c r="Y13" s="71">
        <v>5</v>
      </c>
      <c r="Z13" s="61" t="s">
        <v>86</v>
      </c>
      <c r="AA13" s="61" t="s">
        <v>87</v>
      </c>
      <c r="AB13" s="70" t="s">
        <v>131</v>
      </c>
      <c r="AC13" s="61" t="s">
        <v>104</v>
      </c>
      <c r="AD13" s="61" t="s">
        <v>135</v>
      </c>
      <c r="AE13" s="61" t="s">
        <v>104</v>
      </c>
      <c r="AF13" s="61" t="s">
        <v>104</v>
      </c>
      <c r="AG13" s="69" t="s">
        <v>104</v>
      </c>
      <c r="AH13" s="69" t="s">
        <v>104</v>
      </c>
    </row>
    <row r="14" ht="57" spans="1:34">
      <c r="A14" s="61" t="s">
        <v>70</v>
      </c>
      <c r="B14" s="38" t="s">
        <v>95</v>
      </c>
      <c r="C14" s="69" t="s">
        <v>72</v>
      </c>
      <c r="D14" s="61" t="s">
        <v>136</v>
      </c>
      <c r="E14" s="38" t="s">
        <v>128</v>
      </c>
      <c r="F14" s="74" t="s">
        <v>116</v>
      </c>
      <c r="G14" s="61" t="s">
        <v>117</v>
      </c>
      <c r="H14" s="70" t="s">
        <v>118</v>
      </c>
      <c r="I14" s="61" t="s">
        <v>119</v>
      </c>
      <c r="J14" s="70" t="s">
        <v>112</v>
      </c>
      <c r="K14" s="70" t="s">
        <v>100</v>
      </c>
      <c r="L14" s="75" t="s">
        <v>130</v>
      </c>
      <c r="M14" s="73" t="s">
        <v>102</v>
      </c>
      <c r="N14" s="73" t="s">
        <v>113</v>
      </c>
      <c r="O14" s="61" t="s">
        <v>104</v>
      </c>
      <c r="P14" s="70" t="s">
        <v>100</v>
      </c>
      <c r="Q14" s="71">
        <f>VLOOKUP(E14,Sheet1!A:C,2,0)</f>
        <v>99.99</v>
      </c>
      <c r="R14" s="71" t="str">
        <f>VLOOKUP(E14,Sheet1!A:C,3,0)</f>
        <v>AL-W0169/53.99
AL-W0150/53.99
AL-W0190B/53.99
AL-W0161/56.99</v>
      </c>
      <c r="S14" s="71" t="str">
        <f t="shared" si="0"/>
        <v>AL-W0169/53.99
AL-W0150/53.99
AL-W0190B/53.99
AL-W0161/56.99</v>
      </c>
      <c r="T14" s="71" t="str">
        <f t="shared" si="1"/>
        <v>AL-W0169/53.99
AL-W0150/53.99
AL-W0190B/53.99
AL-W0161/56.99</v>
      </c>
      <c r="U14" s="71">
        <v>56.99</v>
      </c>
      <c r="V14" s="71">
        <v>56.99</v>
      </c>
      <c r="W14" s="71">
        <v>5</v>
      </c>
      <c r="X14" s="71">
        <v>10</v>
      </c>
      <c r="Y14" s="71">
        <v>5</v>
      </c>
      <c r="Z14" s="61" t="s">
        <v>86</v>
      </c>
      <c r="AA14" s="61" t="s">
        <v>87</v>
      </c>
      <c r="AB14" s="70" t="s">
        <v>131</v>
      </c>
      <c r="AC14" s="61" t="s">
        <v>104</v>
      </c>
      <c r="AD14" s="61" t="s">
        <v>137</v>
      </c>
      <c r="AE14" s="61" t="s">
        <v>104</v>
      </c>
      <c r="AF14" s="61" t="s">
        <v>104</v>
      </c>
      <c r="AG14" s="69" t="s">
        <v>104</v>
      </c>
      <c r="AH14" s="69" t="s">
        <v>104</v>
      </c>
    </row>
    <row r="15" ht="57" spans="1:34">
      <c r="A15" s="61" t="s">
        <v>70</v>
      </c>
      <c r="B15" s="38" t="s">
        <v>95</v>
      </c>
      <c r="C15" s="69" t="s">
        <v>72</v>
      </c>
      <c r="D15" s="61" t="s">
        <v>138</v>
      </c>
      <c r="E15" s="38" t="s">
        <v>128</v>
      </c>
      <c r="F15" s="70" t="s">
        <v>108</v>
      </c>
      <c r="G15" s="61" t="s">
        <v>109</v>
      </c>
      <c r="H15" s="70" t="s">
        <v>110</v>
      </c>
      <c r="I15" s="70" t="s">
        <v>111</v>
      </c>
      <c r="J15" s="70" t="s">
        <v>112</v>
      </c>
      <c r="K15" s="70" t="s">
        <v>100</v>
      </c>
      <c r="L15" s="75" t="s">
        <v>130</v>
      </c>
      <c r="M15" s="73" t="s">
        <v>102</v>
      </c>
      <c r="N15" s="73" t="s">
        <v>113</v>
      </c>
      <c r="O15" s="61" t="s">
        <v>104</v>
      </c>
      <c r="P15" s="70" t="s">
        <v>100</v>
      </c>
      <c r="Q15" s="71">
        <f>VLOOKUP(E15,Sheet1!A:C,2,0)</f>
        <v>99.99</v>
      </c>
      <c r="R15" s="71" t="str">
        <f>VLOOKUP(E15,Sheet1!A:C,3,0)</f>
        <v>AL-W0169/53.99
AL-W0150/53.99
AL-W0190B/53.99
AL-W0161/56.99</v>
      </c>
      <c r="S15" s="71" t="str">
        <f t="shared" si="0"/>
        <v>AL-W0169/53.99
AL-W0150/53.99
AL-W0190B/53.99
AL-W0161/56.99</v>
      </c>
      <c r="T15" s="71" t="str">
        <f t="shared" si="1"/>
        <v>AL-W0169/53.99
AL-W0150/53.99
AL-W0190B/53.99
AL-W0161/56.99</v>
      </c>
      <c r="U15" s="71">
        <v>56.99</v>
      </c>
      <c r="V15" s="71">
        <v>56.99</v>
      </c>
      <c r="W15" s="71">
        <v>5</v>
      </c>
      <c r="X15" s="71">
        <v>10</v>
      </c>
      <c r="Y15" s="71">
        <v>5</v>
      </c>
      <c r="Z15" s="61" t="s">
        <v>86</v>
      </c>
      <c r="AA15" s="61" t="s">
        <v>87</v>
      </c>
      <c r="AB15" s="70" t="s">
        <v>131</v>
      </c>
      <c r="AC15" s="61" t="s">
        <v>104</v>
      </c>
      <c r="AD15" s="61" t="s">
        <v>139</v>
      </c>
      <c r="AE15" s="61" t="s">
        <v>104</v>
      </c>
      <c r="AF15" s="61" t="s">
        <v>104</v>
      </c>
      <c r="AG15" s="69" t="s">
        <v>104</v>
      </c>
      <c r="AH15" s="69" t="s">
        <v>104</v>
      </c>
    </row>
    <row r="16" ht="28.5" spans="1:34">
      <c r="A16" s="61" t="s">
        <v>70</v>
      </c>
      <c r="B16" s="38" t="s">
        <v>95</v>
      </c>
      <c r="C16" s="69" t="s">
        <v>72</v>
      </c>
      <c r="D16" s="61" t="s">
        <v>140</v>
      </c>
      <c r="E16" s="38" t="s">
        <v>141</v>
      </c>
      <c r="F16" s="70" t="s">
        <v>129</v>
      </c>
      <c r="G16" s="61" t="s">
        <v>76</v>
      </c>
      <c r="H16" s="61" t="s">
        <v>77</v>
      </c>
      <c r="I16" s="70" t="s">
        <v>98</v>
      </c>
      <c r="J16" s="70" t="s">
        <v>99</v>
      </c>
      <c r="K16" s="70" t="s">
        <v>100</v>
      </c>
      <c r="L16" s="72" t="s">
        <v>142</v>
      </c>
      <c r="M16" s="73" t="s">
        <v>102</v>
      </c>
      <c r="N16" s="73" t="s">
        <v>113</v>
      </c>
      <c r="O16" s="61" t="s">
        <v>104</v>
      </c>
      <c r="P16" s="70" t="s">
        <v>100</v>
      </c>
      <c r="Q16" s="71">
        <f>VLOOKUP(E16,Sheet1!A:C,2,0)</f>
        <v>99.99</v>
      </c>
      <c r="R16" s="71">
        <f>VLOOKUP(E16,Sheet1!A:C,3,0)</f>
        <v>56.99</v>
      </c>
      <c r="S16" s="71">
        <f t="shared" si="0"/>
        <v>56.99</v>
      </c>
      <c r="T16" s="71">
        <f t="shared" si="1"/>
        <v>56.99</v>
      </c>
      <c r="U16" s="71">
        <v>56.99</v>
      </c>
      <c r="V16" s="71">
        <f>U16</f>
        <v>56.99</v>
      </c>
      <c r="W16" s="71">
        <v>5</v>
      </c>
      <c r="X16" s="71">
        <v>10</v>
      </c>
      <c r="Y16" s="71">
        <v>5</v>
      </c>
      <c r="Z16" s="61" t="s">
        <v>86</v>
      </c>
      <c r="AA16" s="61" t="s">
        <v>87</v>
      </c>
      <c r="AB16" s="70" t="s">
        <v>143</v>
      </c>
      <c r="AC16" s="61" t="s">
        <v>104</v>
      </c>
      <c r="AD16" s="61" t="s">
        <v>144</v>
      </c>
      <c r="AE16" s="61" t="s">
        <v>104</v>
      </c>
      <c r="AF16" s="61" t="s">
        <v>104</v>
      </c>
      <c r="AG16" s="69" t="s">
        <v>104</v>
      </c>
      <c r="AH16" s="69" t="s">
        <v>104</v>
      </c>
    </row>
    <row r="17" ht="28.5" spans="1:34">
      <c r="A17" s="61" t="s">
        <v>70</v>
      </c>
      <c r="B17" s="38" t="s">
        <v>95</v>
      </c>
      <c r="C17" s="69" t="s">
        <v>72</v>
      </c>
      <c r="D17" s="61" t="s">
        <v>145</v>
      </c>
      <c r="E17" s="38" t="s">
        <v>141</v>
      </c>
      <c r="F17" s="70" t="s">
        <v>134</v>
      </c>
      <c r="G17" s="61" t="s">
        <v>76</v>
      </c>
      <c r="H17" s="61" t="s">
        <v>77</v>
      </c>
      <c r="I17" s="70" t="s">
        <v>98</v>
      </c>
      <c r="J17" s="70" t="s">
        <v>99</v>
      </c>
      <c r="K17" s="70" t="s">
        <v>100</v>
      </c>
      <c r="L17" s="72" t="s">
        <v>142</v>
      </c>
      <c r="M17" s="73" t="s">
        <v>102</v>
      </c>
      <c r="N17" s="73" t="s">
        <v>103</v>
      </c>
      <c r="O17" s="61" t="s">
        <v>104</v>
      </c>
      <c r="P17" s="70" t="s">
        <v>100</v>
      </c>
      <c r="Q17" s="71">
        <f>VLOOKUP(E17,Sheet1!A:C,2,0)</f>
        <v>99.99</v>
      </c>
      <c r="R17" s="71">
        <f>VLOOKUP(E17,Sheet1!A:C,3,0)</f>
        <v>56.99</v>
      </c>
      <c r="S17" s="71">
        <f t="shared" si="0"/>
        <v>56.99</v>
      </c>
      <c r="T17" s="71">
        <f t="shared" si="1"/>
        <v>56.99</v>
      </c>
      <c r="U17" s="71">
        <v>56.99</v>
      </c>
      <c r="V17" s="71">
        <f t="shared" ref="V17:V24" si="2">U17</f>
        <v>56.99</v>
      </c>
      <c r="W17" s="71">
        <v>5</v>
      </c>
      <c r="X17" s="71">
        <v>10</v>
      </c>
      <c r="Y17" s="71">
        <v>5</v>
      </c>
      <c r="Z17" s="61" t="s">
        <v>86</v>
      </c>
      <c r="AA17" s="61" t="s">
        <v>87</v>
      </c>
      <c r="AB17" s="70" t="s">
        <v>143</v>
      </c>
      <c r="AC17" s="61" t="s">
        <v>104</v>
      </c>
      <c r="AD17" s="61" t="s">
        <v>146</v>
      </c>
      <c r="AE17" s="61" t="s">
        <v>104</v>
      </c>
      <c r="AF17" s="61" t="s">
        <v>104</v>
      </c>
      <c r="AG17" s="69" t="s">
        <v>104</v>
      </c>
      <c r="AH17" s="69" t="s">
        <v>104</v>
      </c>
    </row>
    <row r="18" ht="28.5" spans="1:34">
      <c r="A18" s="61" t="s">
        <v>70</v>
      </c>
      <c r="B18" s="38" t="s">
        <v>95</v>
      </c>
      <c r="C18" s="69" t="s">
        <v>72</v>
      </c>
      <c r="D18" s="61" t="s">
        <v>147</v>
      </c>
      <c r="E18" s="38" t="s">
        <v>141</v>
      </c>
      <c r="F18" s="74" t="s">
        <v>116</v>
      </c>
      <c r="G18" s="61" t="s">
        <v>117</v>
      </c>
      <c r="H18" s="70" t="s">
        <v>118</v>
      </c>
      <c r="I18" s="61" t="s">
        <v>119</v>
      </c>
      <c r="J18" s="70" t="s">
        <v>112</v>
      </c>
      <c r="K18" s="70" t="s">
        <v>100</v>
      </c>
      <c r="L18" s="72" t="s">
        <v>142</v>
      </c>
      <c r="M18" s="73" t="s">
        <v>102</v>
      </c>
      <c r="N18" s="73" t="s">
        <v>113</v>
      </c>
      <c r="O18" s="61" t="s">
        <v>104</v>
      </c>
      <c r="P18" s="70" t="s">
        <v>100</v>
      </c>
      <c r="Q18" s="71">
        <f>VLOOKUP(E18,Sheet1!A:C,2,0)</f>
        <v>99.99</v>
      </c>
      <c r="R18" s="71">
        <f>VLOOKUP(E18,Sheet1!A:C,3,0)</f>
        <v>56.99</v>
      </c>
      <c r="S18" s="71">
        <f t="shared" si="0"/>
        <v>56.99</v>
      </c>
      <c r="T18" s="71">
        <f t="shared" si="1"/>
        <v>56.99</v>
      </c>
      <c r="U18" s="71">
        <v>56.99</v>
      </c>
      <c r="V18" s="71">
        <f t="shared" si="2"/>
        <v>56.99</v>
      </c>
      <c r="W18" s="71">
        <v>5</v>
      </c>
      <c r="X18" s="71">
        <v>10</v>
      </c>
      <c r="Y18" s="71">
        <v>5</v>
      </c>
      <c r="Z18" s="61" t="s">
        <v>86</v>
      </c>
      <c r="AA18" s="61" t="s">
        <v>87</v>
      </c>
      <c r="AB18" s="70" t="s">
        <v>143</v>
      </c>
      <c r="AC18" s="61" t="s">
        <v>104</v>
      </c>
      <c r="AD18" s="61" t="s">
        <v>148</v>
      </c>
      <c r="AE18" s="61" t="s">
        <v>104</v>
      </c>
      <c r="AF18" s="61" t="s">
        <v>104</v>
      </c>
      <c r="AG18" s="69" t="s">
        <v>104</v>
      </c>
      <c r="AH18" s="69" t="s">
        <v>104</v>
      </c>
    </row>
    <row r="19" ht="28.5" spans="1:34">
      <c r="A19" s="61" t="s">
        <v>70</v>
      </c>
      <c r="B19" s="38" t="s">
        <v>95</v>
      </c>
      <c r="C19" s="69" t="s">
        <v>72</v>
      </c>
      <c r="D19" s="61" t="s">
        <v>149</v>
      </c>
      <c r="E19" s="38" t="s">
        <v>150</v>
      </c>
      <c r="F19" s="70" t="s">
        <v>75</v>
      </c>
      <c r="G19" s="61" t="s">
        <v>76</v>
      </c>
      <c r="H19" s="61" t="s">
        <v>77</v>
      </c>
      <c r="I19" s="70" t="s">
        <v>98</v>
      </c>
      <c r="J19" s="70" t="s">
        <v>151</v>
      </c>
      <c r="K19" s="70" t="s">
        <v>100</v>
      </c>
      <c r="L19" s="72" t="s">
        <v>113</v>
      </c>
      <c r="M19" s="73" t="s">
        <v>102</v>
      </c>
      <c r="N19" s="73" t="s">
        <v>103</v>
      </c>
      <c r="O19" s="61" t="s">
        <v>104</v>
      </c>
      <c r="P19" s="70" t="s">
        <v>100</v>
      </c>
      <c r="Q19" s="71">
        <f>VLOOKUP(E19,Sheet1!A:C,2,0)</f>
        <v>36.99</v>
      </c>
      <c r="R19" s="71">
        <f>VLOOKUP(E19,Sheet1!A:C,3,0)</f>
        <v>19.99</v>
      </c>
      <c r="S19" s="71">
        <f t="shared" si="0"/>
        <v>19.99</v>
      </c>
      <c r="T19" s="71">
        <f t="shared" si="1"/>
        <v>19.99</v>
      </c>
      <c r="U19" s="71">
        <f>T19</f>
        <v>19.99</v>
      </c>
      <c r="V19" s="71">
        <f t="shared" si="2"/>
        <v>19.99</v>
      </c>
      <c r="W19" s="71">
        <v>5</v>
      </c>
      <c r="X19" s="71">
        <v>10</v>
      </c>
      <c r="Y19" s="71">
        <v>5</v>
      </c>
      <c r="Z19" s="61" t="s">
        <v>86</v>
      </c>
      <c r="AA19" s="61" t="s">
        <v>87</v>
      </c>
      <c r="AB19" s="70" t="s">
        <v>152</v>
      </c>
      <c r="AC19" s="61" t="s">
        <v>104</v>
      </c>
      <c r="AD19" s="61" t="s">
        <v>153</v>
      </c>
      <c r="AE19" s="61" t="s">
        <v>104</v>
      </c>
      <c r="AF19" s="61" t="s">
        <v>104</v>
      </c>
      <c r="AG19" s="69" t="s">
        <v>104</v>
      </c>
      <c r="AH19" s="69" t="s">
        <v>104</v>
      </c>
    </row>
    <row r="20" ht="28.5" spans="1:34">
      <c r="A20" s="61" t="s">
        <v>70</v>
      </c>
      <c r="B20" s="38" t="s">
        <v>95</v>
      </c>
      <c r="C20" s="69" t="s">
        <v>72</v>
      </c>
      <c r="D20" s="61" t="s">
        <v>154</v>
      </c>
      <c r="E20" s="38" t="s">
        <v>150</v>
      </c>
      <c r="F20" s="74" t="s">
        <v>116</v>
      </c>
      <c r="G20" s="61" t="s">
        <v>117</v>
      </c>
      <c r="H20" s="70" t="s">
        <v>118</v>
      </c>
      <c r="I20" s="61" t="s">
        <v>119</v>
      </c>
      <c r="J20" s="70" t="s">
        <v>151</v>
      </c>
      <c r="K20" s="70" t="s">
        <v>100</v>
      </c>
      <c r="L20" s="72" t="s">
        <v>113</v>
      </c>
      <c r="M20" s="73" t="s">
        <v>102</v>
      </c>
      <c r="N20" s="73" t="s">
        <v>113</v>
      </c>
      <c r="O20" s="61" t="s">
        <v>104</v>
      </c>
      <c r="P20" s="70" t="s">
        <v>100</v>
      </c>
      <c r="Q20" s="71">
        <f>VLOOKUP(E20,Sheet1!A:C,2,0)</f>
        <v>36.99</v>
      </c>
      <c r="R20" s="71">
        <f>VLOOKUP(E20,Sheet1!A:C,3,0)</f>
        <v>19.99</v>
      </c>
      <c r="S20" s="71">
        <f t="shared" si="0"/>
        <v>19.99</v>
      </c>
      <c r="T20" s="71">
        <f t="shared" si="1"/>
        <v>19.99</v>
      </c>
      <c r="U20" s="71">
        <f t="shared" ref="U20:U42" si="3">T20</f>
        <v>19.99</v>
      </c>
      <c r="V20" s="71">
        <f t="shared" si="2"/>
        <v>19.99</v>
      </c>
      <c r="W20" s="71">
        <v>5</v>
      </c>
      <c r="X20" s="71">
        <v>10</v>
      </c>
      <c r="Y20" s="71">
        <v>5</v>
      </c>
      <c r="Z20" s="61" t="s">
        <v>86</v>
      </c>
      <c r="AA20" s="61" t="s">
        <v>87</v>
      </c>
      <c r="AB20" s="70" t="s">
        <v>152</v>
      </c>
      <c r="AC20" s="61" t="s">
        <v>104</v>
      </c>
      <c r="AD20" s="61" t="s">
        <v>155</v>
      </c>
      <c r="AE20" s="61" t="s">
        <v>104</v>
      </c>
      <c r="AF20" s="61" t="s">
        <v>104</v>
      </c>
      <c r="AG20" s="69" t="s">
        <v>104</v>
      </c>
      <c r="AH20" s="69" t="s">
        <v>104</v>
      </c>
    </row>
    <row r="21" ht="28.5" spans="1:34">
      <c r="A21" s="61" t="s">
        <v>70</v>
      </c>
      <c r="B21" s="38" t="s">
        <v>95</v>
      </c>
      <c r="C21" s="69" t="s">
        <v>72</v>
      </c>
      <c r="D21" s="61" t="s">
        <v>156</v>
      </c>
      <c r="E21" s="38" t="s">
        <v>157</v>
      </c>
      <c r="F21" s="70" t="s">
        <v>158</v>
      </c>
      <c r="G21" s="61" t="s">
        <v>159</v>
      </c>
      <c r="H21" s="70" t="s">
        <v>118</v>
      </c>
      <c r="I21" s="70" t="s">
        <v>160</v>
      </c>
      <c r="J21" s="70" t="s">
        <v>112</v>
      </c>
      <c r="K21" s="70" t="s">
        <v>100</v>
      </c>
      <c r="L21" s="72" t="s">
        <v>113</v>
      </c>
      <c r="M21" s="73" t="s">
        <v>102</v>
      </c>
      <c r="N21" s="73" t="s">
        <v>113</v>
      </c>
      <c r="O21" s="61" t="s">
        <v>104</v>
      </c>
      <c r="P21" s="70" t="s">
        <v>100</v>
      </c>
      <c r="Q21" s="71">
        <f>VLOOKUP(E21,Sheet1!A:C,2,0)</f>
        <v>99.99</v>
      </c>
      <c r="R21" s="71">
        <f>VLOOKUP(E21,Sheet1!A:C,3,0)</f>
        <v>53.99</v>
      </c>
      <c r="S21" s="71">
        <f t="shared" si="0"/>
        <v>53.99</v>
      </c>
      <c r="T21" s="71">
        <f t="shared" si="1"/>
        <v>53.99</v>
      </c>
      <c r="U21" s="71">
        <f t="shared" si="3"/>
        <v>53.99</v>
      </c>
      <c r="V21" s="71">
        <f t="shared" si="2"/>
        <v>53.99</v>
      </c>
      <c r="W21" s="71">
        <v>5</v>
      </c>
      <c r="X21" s="71">
        <v>10</v>
      </c>
      <c r="Y21" s="71">
        <v>5</v>
      </c>
      <c r="Z21" s="61" t="s">
        <v>86</v>
      </c>
      <c r="AA21" s="61" t="s">
        <v>87</v>
      </c>
      <c r="AB21" s="70" t="s">
        <v>105</v>
      </c>
      <c r="AC21" s="61" t="s">
        <v>104</v>
      </c>
      <c r="AD21" s="61" t="s">
        <v>161</v>
      </c>
      <c r="AE21" s="61" t="s">
        <v>104</v>
      </c>
      <c r="AF21" s="61" t="s">
        <v>104</v>
      </c>
      <c r="AG21" s="69" t="s">
        <v>104</v>
      </c>
      <c r="AH21" s="69" t="s">
        <v>104</v>
      </c>
    </row>
    <row r="22" ht="28.5" spans="1:34">
      <c r="A22" s="61" t="s">
        <v>70</v>
      </c>
      <c r="B22" s="38" t="s">
        <v>95</v>
      </c>
      <c r="C22" s="69" t="s">
        <v>72</v>
      </c>
      <c r="D22" s="61" t="s">
        <v>162</v>
      </c>
      <c r="E22" s="38" t="s">
        <v>157</v>
      </c>
      <c r="F22" s="74" t="s">
        <v>116</v>
      </c>
      <c r="G22" s="61" t="s">
        <v>117</v>
      </c>
      <c r="H22" s="70" t="s">
        <v>118</v>
      </c>
      <c r="I22" s="70" t="s">
        <v>163</v>
      </c>
      <c r="J22" s="70" t="s">
        <v>112</v>
      </c>
      <c r="K22" s="70" t="s">
        <v>100</v>
      </c>
      <c r="L22" s="72" t="s">
        <v>113</v>
      </c>
      <c r="M22" s="73" t="s">
        <v>102</v>
      </c>
      <c r="N22" s="73" t="s">
        <v>113</v>
      </c>
      <c r="O22" s="61" t="s">
        <v>104</v>
      </c>
      <c r="P22" s="70" t="s">
        <v>100</v>
      </c>
      <c r="Q22" s="71">
        <f>VLOOKUP(E22,Sheet1!A:C,2,0)</f>
        <v>99.99</v>
      </c>
      <c r="R22" s="71">
        <f>VLOOKUP(E22,Sheet1!A:C,3,0)</f>
        <v>53.99</v>
      </c>
      <c r="S22" s="71">
        <f t="shared" si="0"/>
        <v>53.99</v>
      </c>
      <c r="T22" s="71">
        <f t="shared" si="1"/>
        <v>53.99</v>
      </c>
      <c r="U22" s="71">
        <f t="shared" si="3"/>
        <v>53.99</v>
      </c>
      <c r="V22" s="71">
        <f t="shared" si="2"/>
        <v>53.99</v>
      </c>
      <c r="W22" s="71">
        <v>5</v>
      </c>
      <c r="X22" s="71">
        <v>10</v>
      </c>
      <c r="Y22" s="71">
        <v>5</v>
      </c>
      <c r="Z22" s="61" t="s">
        <v>86</v>
      </c>
      <c r="AA22" s="61" t="s">
        <v>87</v>
      </c>
      <c r="AB22" s="70" t="s">
        <v>105</v>
      </c>
      <c r="AC22" s="61" t="s">
        <v>104</v>
      </c>
      <c r="AD22" s="61" t="s">
        <v>164</v>
      </c>
      <c r="AE22" s="61" t="s">
        <v>104</v>
      </c>
      <c r="AF22" s="61" t="s">
        <v>104</v>
      </c>
      <c r="AG22" s="69" t="s">
        <v>104</v>
      </c>
      <c r="AH22" s="69" t="s">
        <v>104</v>
      </c>
    </row>
    <row r="23" ht="28.5" spans="1:34">
      <c r="A23" s="61" t="s">
        <v>70</v>
      </c>
      <c r="B23" s="38" t="s">
        <v>95</v>
      </c>
      <c r="C23" s="69" t="s">
        <v>72</v>
      </c>
      <c r="D23" s="61" t="s">
        <v>165</v>
      </c>
      <c r="E23" s="38" t="s">
        <v>157</v>
      </c>
      <c r="F23" s="74" t="s">
        <v>116</v>
      </c>
      <c r="G23" s="61" t="s">
        <v>117</v>
      </c>
      <c r="H23" s="70" t="s">
        <v>118</v>
      </c>
      <c r="I23" s="70" t="s">
        <v>163</v>
      </c>
      <c r="J23" s="70" t="s">
        <v>112</v>
      </c>
      <c r="K23" s="70" t="s">
        <v>100</v>
      </c>
      <c r="L23" s="72" t="s">
        <v>113</v>
      </c>
      <c r="M23" s="73" t="s">
        <v>102</v>
      </c>
      <c r="N23" s="73" t="s">
        <v>113</v>
      </c>
      <c r="O23" s="61" t="s">
        <v>104</v>
      </c>
      <c r="P23" s="70" t="s">
        <v>100</v>
      </c>
      <c r="Q23" s="71">
        <f>VLOOKUP(E23,Sheet1!A:C,2,0)</f>
        <v>99.99</v>
      </c>
      <c r="R23" s="71">
        <f>VLOOKUP(E23,Sheet1!A:C,3,0)</f>
        <v>53.99</v>
      </c>
      <c r="S23" s="71">
        <f t="shared" si="0"/>
        <v>53.99</v>
      </c>
      <c r="T23" s="71">
        <f t="shared" si="1"/>
        <v>53.99</v>
      </c>
      <c r="U23" s="71">
        <f t="shared" si="3"/>
        <v>53.99</v>
      </c>
      <c r="V23" s="71">
        <f t="shared" si="2"/>
        <v>53.99</v>
      </c>
      <c r="W23" s="71">
        <v>5</v>
      </c>
      <c r="X23" s="71">
        <v>10</v>
      </c>
      <c r="Y23" s="71">
        <v>5</v>
      </c>
      <c r="Z23" s="61" t="s">
        <v>86</v>
      </c>
      <c r="AA23" s="61" t="s">
        <v>87</v>
      </c>
      <c r="AB23" s="70" t="s">
        <v>105</v>
      </c>
      <c r="AC23" s="61" t="s">
        <v>104</v>
      </c>
      <c r="AD23" s="61" t="s">
        <v>166</v>
      </c>
      <c r="AE23" s="61" t="s">
        <v>104</v>
      </c>
      <c r="AF23" s="61" t="s">
        <v>104</v>
      </c>
      <c r="AG23" s="69" t="s">
        <v>104</v>
      </c>
      <c r="AH23" s="69" t="s">
        <v>104</v>
      </c>
    </row>
    <row r="24" ht="28.5" spans="1:34">
      <c r="A24" s="61" t="s">
        <v>70</v>
      </c>
      <c r="B24" s="38" t="s">
        <v>95</v>
      </c>
      <c r="C24" s="69" t="s">
        <v>72</v>
      </c>
      <c r="D24" s="61" t="s">
        <v>167</v>
      </c>
      <c r="E24" s="38" t="s">
        <v>157</v>
      </c>
      <c r="F24" s="74" t="s">
        <v>116</v>
      </c>
      <c r="G24" s="61" t="s">
        <v>117</v>
      </c>
      <c r="H24" s="70" t="s">
        <v>118</v>
      </c>
      <c r="I24" s="70" t="s">
        <v>163</v>
      </c>
      <c r="J24" s="70" t="s">
        <v>112</v>
      </c>
      <c r="K24" s="70" t="s">
        <v>100</v>
      </c>
      <c r="L24" s="72" t="s">
        <v>113</v>
      </c>
      <c r="M24" s="73" t="s">
        <v>102</v>
      </c>
      <c r="N24" s="73" t="s">
        <v>113</v>
      </c>
      <c r="O24" s="61" t="s">
        <v>104</v>
      </c>
      <c r="P24" s="70" t="s">
        <v>100</v>
      </c>
      <c r="Q24" s="71">
        <f>VLOOKUP(E24,Sheet1!A:C,2,0)</f>
        <v>99.99</v>
      </c>
      <c r="R24" s="71">
        <f>VLOOKUP(E24,Sheet1!A:C,3,0)</f>
        <v>53.99</v>
      </c>
      <c r="S24" s="71">
        <f t="shared" si="0"/>
        <v>53.99</v>
      </c>
      <c r="T24" s="71">
        <f t="shared" si="1"/>
        <v>53.99</v>
      </c>
      <c r="U24" s="71">
        <f t="shared" si="3"/>
        <v>53.99</v>
      </c>
      <c r="V24" s="71">
        <f t="shared" si="2"/>
        <v>53.99</v>
      </c>
      <c r="W24" s="71">
        <v>5</v>
      </c>
      <c r="X24" s="71">
        <v>10</v>
      </c>
      <c r="Y24" s="71">
        <v>5</v>
      </c>
      <c r="Z24" s="61" t="s">
        <v>86</v>
      </c>
      <c r="AA24" s="61" t="s">
        <v>87</v>
      </c>
      <c r="AB24" s="70" t="s">
        <v>105</v>
      </c>
      <c r="AC24" s="61" t="s">
        <v>104</v>
      </c>
      <c r="AD24" s="61" t="s">
        <v>168</v>
      </c>
      <c r="AE24" s="61" t="s">
        <v>104</v>
      </c>
      <c r="AF24" s="61" t="s">
        <v>104</v>
      </c>
      <c r="AG24" s="69" t="s">
        <v>104</v>
      </c>
      <c r="AH24" s="69" t="s">
        <v>104</v>
      </c>
    </row>
    <row r="25" ht="28.5" spans="1:34">
      <c r="A25" s="61" t="s">
        <v>70</v>
      </c>
      <c r="B25" s="38" t="s">
        <v>95</v>
      </c>
      <c r="C25" s="69" t="s">
        <v>72</v>
      </c>
      <c r="D25" s="84" t="s">
        <v>169</v>
      </c>
      <c r="E25" s="38" t="s">
        <v>170</v>
      </c>
      <c r="F25" s="70" t="s">
        <v>158</v>
      </c>
      <c r="G25" s="61" t="s">
        <v>159</v>
      </c>
      <c r="H25" s="70" t="s">
        <v>118</v>
      </c>
      <c r="I25" s="70" t="s">
        <v>160</v>
      </c>
      <c r="J25" s="70" t="s">
        <v>112</v>
      </c>
      <c r="K25" s="70" t="s">
        <v>100</v>
      </c>
      <c r="L25" s="72" t="s">
        <v>113</v>
      </c>
      <c r="M25" s="73" t="s">
        <v>102</v>
      </c>
      <c r="N25" s="73" t="s">
        <v>113</v>
      </c>
      <c r="O25" s="61"/>
      <c r="P25" s="70" t="s">
        <v>100</v>
      </c>
      <c r="Q25" s="71">
        <f>VLOOKUP(E25,Sheet1!A:C,2,0)</f>
        <v>69.99</v>
      </c>
      <c r="R25" s="71">
        <f>VLOOKUP(E25,Sheet1!A:C,3,0)</f>
        <v>53.99</v>
      </c>
      <c r="S25" s="71">
        <f t="shared" ref="S25:S56" si="4">R25</f>
        <v>53.99</v>
      </c>
      <c r="T25" s="71">
        <f t="shared" si="1"/>
        <v>53.99</v>
      </c>
      <c r="U25" s="71">
        <f t="shared" si="3"/>
        <v>53.99</v>
      </c>
      <c r="V25" s="71">
        <f t="shared" ref="V25:V56" si="5">U25</f>
        <v>53.99</v>
      </c>
      <c r="W25" s="71">
        <v>5</v>
      </c>
      <c r="X25" s="71">
        <v>10</v>
      </c>
      <c r="Y25" s="71">
        <v>5</v>
      </c>
      <c r="Z25" s="61" t="s">
        <v>86</v>
      </c>
      <c r="AA25" s="61" t="s">
        <v>87</v>
      </c>
      <c r="AB25" s="70" t="s">
        <v>105</v>
      </c>
      <c r="AC25" s="61"/>
      <c r="AD25" s="61" t="s">
        <v>171</v>
      </c>
      <c r="AE25" s="61"/>
      <c r="AF25" s="61"/>
      <c r="AG25" s="61"/>
      <c r="AH25" s="61"/>
    </row>
    <row r="26" ht="28.5" spans="1:34">
      <c r="A26" s="61" t="s">
        <v>70</v>
      </c>
      <c r="B26" s="38" t="s">
        <v>95</v>
      </c>
      <c r="C26" s="69" t="s">
        <v>72</v>
      </c>
      <c r="D26" s="84" t="s">
        <v>172</v>
      </c>
      <c r="E26" s="38" t="s">
        <v>170</v>
      </c>
      <c r="F26" s="74" t="s">
        <v>116</v>
      </c>
      <c r="G26" s="61" t="s">
        <v>117</v>
      </c>
      <c r="H26" s="70" t="s">
        <v>118</v>
      </c>
      <c r="I26" s="70" t="s">
        <v>163</v>
      </c>
      <c r="J26" s="70" t="s">
        <v>112</v>
      </c>
      <c r="K26" s="70" t="s">
        <v>100</v>
      </c>
      <c r="L26" s="72" t="s">
        <v>113</v>
      </c>
      <c r="M26" s="73" t="s">
        <v>102</v>
      </c>
      <c r="N26" s="73" t="s">
        <v>113</v>
      </c>
      <c r="O26" s="61"/>
      <c r="P26" s="70" t="s">
        <v>100</v>
      </c>
      <c r="Q26" s="71">
        <f>VLOOKUP(E26,Sheet1!A:C,2,0)</f>
        <v>69.99</v>
      </c>
      <c r="R26" s="71">
        <f>VLOOKUP(E26,Sheet1!A:C,3,0)</f>
        <v>53.99</v>
      </c>
      <c r="S26" s="71">
        <f t="shared" si="4"/>
        <v>53.99</v>
      </c>
      <c r="T26" s="71">
        <f t="shared" si="1"/>
        <v>53.99</v>
      </c>
      <c r="U26" s="71">
        <f t="shared" si="3"/>
        <v>53.99</v>
      </c>
      <c r="V26" s="71">
        <f t="shared" si="5"/>
        <v>53.99</v>
      </c>
      <c r="W26" s="71">
        <v>5</v>
      </c>
      <c r="X26" s="71">
        <v>10</v>
      </c>
      <c r="Y26" s="71">
        <v>5</v>
      </c>
      <c r="Z26" s="61" t="s">
        <v>86</v>
      </c>
      <c r="AA26" s="61" t="s">
        <v>87</v>
      </c>
      <c r="AB26" s="70" t="s">
        <v>105</v>
      </c>
      <c r="AC26" s="61"/>
      <c r="AD26" s="61" t="s">
        <v>173</v>
      </c>
      <c r="AE26" s="61"/>
      <c r="AF26" s="61"/>
      <c r="AG26" s="61"/>
      <c r="AH26" s="61"/>
    </row>
    <row r="27" ht="28.5" spans="1:34">
      <c r="A27" s="61" t="s">
        <v>70</v>
      </c>
      <c r="B27" s="38" t="s">
        <v>95</v>
      </c>
      <c r="C27" s="69" t="s">
        <v>72</v>
      </c>
      <c r="D27" s="84" t="s">
        <v>174</v>
      </c>
      <c r="E27" s="38" t="s">
        <v>170</v>
      </c>
      <c r="F27" s="74" t="s">
        <v>116</v>
      </c>
      <c r="G27" s="61" t="s">
        <v>117</v>
      </c>
      <c r="H27" s="70" t="s">
        <v>118</v>
      </c>
      <c r="I27" s="70" t="s">
        <v>163</v>
      </c>
      <c r="J27" s="70" t="s">
        <v>112</v>
      </c>
      <c r="K27" s="70" t="s">
        <v>100</v>
      </c>
      <c r="L27" s="72" t="s">
        <v>113</v>
      </c>
      <c r="M27" s="73" t="s">
        <v>102</v>
      </c>
      <c r="N27" s="73" t="s">
        <v>113</v>
      </c>
      <c r="O27" s="61"/>
      <c r="P27" s="70" t="s">
        <v>100</v>
      </c>
      <c r="Q27" s="71">
        <f>VLOOKUP(E27,Sheet1!A:C,2,0)</f>
        <v>69.99</v>
      </c>
      <c r="R27" s="71">
        <f>VLOOKUP(E27,Sheet1!A:C,3,0)</f>
        <v>53.99</v>
      </c>
      <c r="S27" s="71">
        <f t="shared" si="4"/>
        <v>53.99</v>
      </c>
      <c r="T27" s="71">
        <f t="shared" si="1"/>
        <v>53.99</v>
      </c>
      <c r="U27" s="71">
        <f t="shared" si="3"/>
        <v>53.99</v>
      </c>
      <c r="V27" s="71">
        <f t="shared" si="5"/>
        <v>53.99</v>
      </c>
      <c r="W27" s="71">
        <v>5</v>
      </c>
      <c r="X27" s="71">
        <v>10</v>
      </c>
      <c r="Y27" s="71">
        <v>5</v>
      </c>
      <c r="Z27" s="61" t="s">
        <v>86</v>
      </c>
      <c r="AA27" s="61" t="s">
        <v>87</v>
      </c>
      <c r="AB27" s="70" t="s">
        <v>105</v>
      </c>
      <c r="AC27" s="61"/>
      <c r="AD27" s="61" t="s">
        <v>175</v>
      </c>
      <c r="AE27" s="61"/>
      <c r="AF27" s="61"/>
      <c r="AG27" s="61"/>
      <c r="AH27" s="61"/>
    </row>
    <row r="28" ht="28.5" spans="1:34">
      <c r="A28" s="61" t="s">
        <v>70</v>
      </c>
      <c r="B28" s="38" t="s">
        <v>95</v>
      </c>
      <c r="C28" s="69" t="s">
        <v>72</v>
      </c>
      <c r="D28" s="84" t="s">
        <v>176</v>
      </c>
      <c r="E28" s="38" t="s">
        <v>170</v>
      </c>
      <c r="F28" s="74" t="s">
        <v>116</v>
      </c>
      <c r="G28" s="61" t="s">
        <v>117</v>
      </c>
      <c r="H28" s="70" t="s">
        <v>118</v>
      </c>
      <c r="I28" s="70" t="s">
        <v>163</v>
      </c>
      <c r="J28" s="70" t="s">
        <v>112</v>
      </c>
      <c r="K28" s="70" t="s">
        <v>100</v>
      </c>
      <c r="L28" s="72" t="s">
        <v>113</v>
      </c>
      <c r="M28" s="73" t="s">
        <v>102</v>
      </c>
      <c r="N28" s="73" t="s">
        <v>113</v>
      </c>
      <c r="O28" s="61"/>
      <c r="P28" s="70" t="s">
        <v>100</v>
      </c>
      <c r="Q28" s="71">
        <f>VLOOKUP(E28,Sheet1!A:C,2,0)</f>
        <v>69.99</v>
      </c>
      <c r="R28" s="71">
        <f>VLOOKUP(E28,Sheet1!A:C,3,0)</f>
        <v>53.99</v>
      </c>
      <c r="S28" s="71">
        <f t="shared" si="4"/>
        <v>53.99</v>
      </c>
      <c r="T28" s="71">
        <f t="shared" si="1"/>
        <v>53.99</v>
      </c>
      <c r="U28" s="71">
        <f t="shared" si="3"/>
        <v>53.99</v>
      </c>
      <c r="V28" s="71">
        <f t="shared" si="5"/>
        <v>53.99</v>
      </c>
      <c r="W28" s="71">
        <v>5</v>
      </c>
      <c r="X28" s="71">
        <v>10</v>
      </c>
      <c r="Y28" s="71">
        <v>5</v>
      </c>
      <c r="Z28" s="61" t="s">
        <v>86</v>
      </c>
      <c r="AA28" s="61" t="s">
        <v>87</v>
      </c>
      <c r="AB28" s="70" t="s">
        <v>105</v>
      </c>
      <c r="AC28" s="61"/>
      <c r="AD28" s="61" t="s">
        <v>177</v>
      </c>
      <c r="AE28" s="61"/>
      <c r="AF28" s="61"/>
      <c r="AG28" s="61"/>
      <c r="AH28" s="61"/>
    </row>
    <row r="29" ht="28.5" spans="1:34">
      <c r="A29" s="61" t="s">
        <v>70</v>
      </c>
      <c r="B29" s="38" t="s">
        <v>95</v>
      </c>
      <c r="C29" s="69" t="s">
        <v>72</v>
      </c>
      <c r="D29" s="84" t="s">
        <v>178</v>
      </c>
      <c r="E29" s="38" t="s">
        <v>179</v>
      </c>
      <c r="F29" s="76" t="s">
        <v>180</v>
      </c>
      <c r="G29" s="61" t="s">
        <v>159</v>
      </c>
      <c r="H29" s="70" t="s">
        <v>118</v>
      </c>
      <c r="I29" s="70" t="s">
        <v>160</v>
      </c>
      <c r="J29" s="70" t="s">
        <v>112</v>
      </c>
      <c r="K29" s="70" t="s">
        <v>100</v>
      </c>
      <c r="L29" s="72" t="s">
        <v>113</v>
      </c>
      <c r="M29" s="73" t="s">
        <v>102</v>
      </c>
      <c r="N29" s="73" t="s">
        <v>113</v>
      </c>
      <c r="O29" s="61"/>
      <c r="P29" s="70" t="s">
        <v>100</v>
      </c>
      <c r="Q29" s="71">
        <f>VLOOKUP(E29,Sheet1!A:C,2,0)</f>
        <v>49.99</v>
      </c>
      <c r="R29" s="71">
        <f>VLOOKUP(E29,Sheet1!A:C,3,0)</f>
        <v>39.99</v>
      </c>
      <c r="S29" s="71">
        <f t="shared" si="4"/>
        <v>39.99</v>
      </c>
      <c r="T29" s="71">
        <f t="shared" si="1"/>
        <v>39.99</v>
      </c>
      <c r="U29" s="71">
        <f t="shared" si="3"/>
        <v>39.99</v>
      </c>
      <c r="V29" s="71">
        <f t="shared" si="5"/>
        <v>39.99</v>
      </c>
      <c r="W29" s="71">
        <v>5</v>
      </c>
      <c r="X29" s="71">
        <v>10</v>
      </c>
      <c r="Y29" s="71">
        <v>5</v>
      </c>
      <c r="Z29" s="61" t="s">
        <v>86</v>
      </c>
      <c r="AA29" s="61" t="s">
        <v>87</v>
      </c>
      <c r="AB29" s="70" t="s">
        <v>181</v>
      </c>
      <c r="AC29" s="61"/>
      <c r="AD29" s="61" t="s">
        <v>182</v>
      </c>
      <c r="AE29" s="61"/>
      <c r="AF29" s="61"/>
      <c r="AG29" s="61"/>
      <c r="AH29" s="61"/>
    </row>
    <row r="30" ht="28.5" spans="1:34">
      <c r="A30" s="61" t="s">
        <v>70</v>
      </c>
      <c r="B30" s="38" t="s">
        <v>95</v>
      </c>
      <c r="C30" s="69" t="s">
        <v>72</v>
      </c>
      <c r="D30" s="84" t="s">
        <v>183</v>
      </c>
      <c r="E30" s="38" t="s">
        <v>179</v>
      </c>
      <c r="F30" s="74" t="s">
        <v>116</v>
      </c>
      <c r="G30" s="61" t="s">
        <v>117</v>
      </c>
      <c r="H30" s="70" t="s">
        <v>118</v>
      </c>
      <c r="I30" s="70" t="s">
        <v>163</v>
      </c>
      <c r="J30" s="70" t="s">
        <v>112</v>
      </c>
      <c r="K30" s="70" t="s">
        <v>100</v>
      </c>
      <c r="L30" s="72" t="s">
        <v>113</v>
      </c>
      <c r="M30" s="73" t="s">
        <v>102</v>
      </c>
      <c r="N30" s="73" t="s">
        <v>113</v>
      </c>
      <c r="O30" s="61"/>
      <c r="P30" s="70" t="s">
        <v>100</v>
      </c>
      <c r="Q30" s="71">
        <f>VLOOKUP(E30,Sheet1!A:C,2,0)</f>
        <v>49.99</v>
      </c>
      <c r="R30" s="71">
        <f>VLOOKUP(E30,Sheet1!A:C,3,0)</f>
        <v>39.99</v>
      </c>
      <c r="S30" s="71">
        <f t="shared" si="4"/>
        <v>39.99</v>
      </c>
      <c r="T30" s="71">
        <f t="shared" si="1"/>
        <v>39.99</v>
      </c>
      <c r="U30" s="71">
        <f t="shared" si="3"/>
        <v>39.99</v>
      </c>
      <c r="V30" s="71">
        <f t="shared" si="5"/>
        <v>39.99</v>
      </c>
      <c r="W30" s="71">
        <v>5</v>
      </c>
      <c r="X30" s="71">
        <v>10</v>
      </c>
      <c r="Y30" s="71">
        <v>5</v>
      </c>
      <c r="Z30" s="61" t="s">
        <v>86</v>
      </c>
      <c r="AA30" s="61" t="s">
        <v>87</v>
      </c>
      <c r="AB30" s="70" t="s">
        <v>181</v>
      </c>
      <c r="AC30" s="61"/>
      <c r="AD30" s="61" t="s">
        <v>184</v>
      </c>
      <c r="AE30" s="61"/>
      <c r="AF30" s="61"/>
      <c r="AG30" s="61"/>
      <c r="AH30" s="61"/>
    </row>
    <row r="31" ht="28.5" spans="1:34">
      <c r="A31" s="61" t="s">
        <v>70</v>
      </c>
      <c r="B31" s="38" t="s">
        <v>95</v>
      </c>
      <c r="C31" s="69" t="s">
        <v>72</v>
      </c>
      <c r="D31" s="84" t="s">
        <v>185</v>
      </c>
      <c r="E31" s="38" t="s">
        <v>179</v>
      </c>
      <c r="F31" s="74" t="s">
        <v>116</v>
      </c>
      <c r="G31" s="61" t="s">
        <v>117</v>
      </c>
      <c r="H31" s="70" t="s">
        <v>118</v>
      </c>
      <c r="I31" s="70" t="s">
        <v>163</v>
      </c>
      <c r="J31" s="70" t="s">
        <v>112</v>
      </c>
      <c r="K31" s="70" t="s">
        <v>100</v>
      </c>
      <c r="L31" s="72" t="s">
        <v>113</v>
      </c>
      <c r="M31" s="73" t="s">
        <v>102</v>
      </c>
      <c r="N31" s="73" t="s">
        <v>113</v>
      </c>
      <c r="O31" s="61"/>
      <c r="P31" s="70" t="s">
        <v>100</v>
      </c>
      <c r="Q31" s="71">
        <f>VLOOKUP(E31,Sheet1!A:C,2,0)</f>
        <v>49.99</v>
      </c>
      <c r="R31" s="71">
        <f>VLOOKUP(E31,Sheet1!A:C,3,0)</f>
        <v>39.99</v>
      </c>
      <c r="S31" s="71">
        <f t="shared" si="4"/>
        <v>39.99</v>
      </c>
      <c r="T31" s="71">
        <f t="shared" si="1"/>
        <v>39.99</v>
      </c>
      <c r="U31" s="71">
        <f t="shared" si="3"/>
        <v>39.99</v>
      </c>
      <c r="V31" s="71">
        <f t="shared" si="5"/>
        <v>39.99</v>
      </c>
      <c r="W31" s="71">
        <v>5</v>
      </c>
      <c r="X31" s="71">
        <v>10</v>
      </c>
      <c r="Y31" s="71">
        <v>5</v>
      </c>
      <c r="Z31" s="61" t="s">
        <v>86</v>
      </c>
      <c r="AA31" s="61" t="s">
        <v>87</v>
      </c>
      <c r="AB31" s="70" t="s">
        <v>181</v>
      </c>
      <c r="AC31" s="61"/>
      <c r="AD31" s="61" t="s">
        <v>186</v>
      </c>
      <c r="AE31" s="61"/>
      <c r="AF31" s="61"/>
      <c r="AG31" s="61"/>
      <c r="AH31" s="61"/>
    </row>
    <row r="32" ht="28.5" spans="1:34">
      <c r="A32" s="61" t="s">
        <v>70</v>
      </c>
      <c r="B32" s="38" t="s">
        <v>95</v>
      </c>
      <c r="C32" s="69" t="s">
        <v>72</v>
      </c>
      <c r="D32" s="84" t="s">
        <v>187</v>
      </c>
      <c r="E32" s="38" t="s">
        <v>179</v>
      </c>
      <c r="F32" s="74" t="s">
        <v>116</v>
      </c>
      <c r="G32" s="61" t="s">
        <v>117</v>
      </c>
      <c r="H32" s="70" t="s">
        <v>118</v>
      </c>
      <c r="I32" s="70" t="s">
        <v>163</v>
      </c>
      <c r="J32" s="70" t="s">
        <v>112</v>
      </c>
      <c r="K32" s="70" t="s">
        <v>100</v>
      </c>
      <c r="L32" s="72" t="s">
        <v>113</v>
      </c>
      <c r="M32" s="73" t="s">
        <v>102</v>
      </c>
      <c r="N32" s="73" t="s">
        <v>113</v>
      </c>
      <c r="O32" s="61"/>
      <c r="P32" s="70" t="s">
        <v>100</v>
      </c>
      <c r="Q32" s="71">
        <f>VLOOKUP(E32,Sheet1!A:C,2,0)</f>
        <v>49.99</v>
      </c>
      <c r="R32" s="71">
        <f>VLOOKUP(E32,Sheet1!A:C,3,0)</f>
        <v>39.99</v>
      </c>
      <c r="S32" s="71">
        <f t="shared" si="4"/>
        <v>39.99</v>
      </c>
      <c r="T32" s="71">
        <f t="shared" si="1"/>
        <v>39.99</v>
      </c>
      <c r="U32" s="71">
        <f t="shared" si="3"/>
        <v>39.99</v>
      </c>
      <c r="V32" s="71">
        <f t="shared" si="5"/>
        <v>39.99</v>
      </c>
      <c r="W32" s="71">
        <v>5</v>
      </c>
      <c r="X32" s="71">
        <v>10</v>
      </c>
      <c r="Y32" s="71">
        <v>5</v>
      </c>
      <c r="Z32" s="61" t="s">
        <v>86</v>
      </c>
      <c r="AA32" s="61" t="s">
        <v>87</v>
      </c>
      <c r="AB32" s="70" t="s">
        <v>181</v>
      </c>
      <c r="AC32" s="61"/>
      <c r="AD32" s="61" t="s">
        <v>188</v>
      </c>
      <c r="AE32" s="61"/>
      <c r="AF32" s="61"/>
      <c r="AG32" s="61"/>
      <c r="AH32" s="61"/>
    </row>
    <row r="33" ht="28.5" spans="1:34">
      <c r="A33" s="61" t="s">
        <v>70</v>
      </c>
      <c r="B33" s="38" t="s">
        <v>95</v>
      </c>
      <c r="C33" s="69" t="s">
        <v>72</v>
      </c>
      <c r="D33" s="84" t="s">
        <v>189</v>
      </c>
      <c r="E33" s="38" t="s">
        <v>179</v>
      </c>
      <c r="F33" s="74" t="s">
        <v>116</v>
      </c>
      <c r="G33" s="61" t="s">
        <v>117</v>
      </c>
      <c r="H33" s="70" t="s">
        <v>118</v>
      </c>
      <c r="I33" s="70" t="s">
        <v>163</v>
      </c>
      <c r="J33" s="70" t="s">
        <v>112</v>
      </c>
      <c r="K33" s="70" t="s">
        <v>100</v>
      </c>
      <c r="L33" s="72" t="s">
        <v>113</v>
      </c>
      <c r="M33" s="73" t="s">
        <v>102</v>
      </c>
      <c r="N33" s="73" t="s">
        <v>113</v>
      </c>
      <c r="O33" s="61"/>
      <c r="P33" s="70" t="s">
        <v>100</v>
      </c>
      <c r="Q33" s="71">
        <f>VLOOKUP(E33,Sheet1!A:C,2,0)</f>
        <v>49.99</v>
      </c>
      <c r="R33" s="71">
        <f>VLOOKUP(E33,Sheet1!A:C,3,0)</f>
        <v>39.99</v>
      </c>
      <c r="S33" s="71">
        <f t="shared" si="4"/>
        <v>39.99</v>
      </c>
      <c r="T33" s="71">
        <f t="shared" si="1"/>
        <v>39.99</v>
      </c>
      <c r="U33" s="71">
        <f t="shared" si="3"/>
        <v>39.99</v>
      </c>
      <c r="V33" s="71">
        <f t="shared" si="5"/>
        <v>39.99</v>
      </c>
      <c r="W33" s="71">
        <v>5</v>
      </c>
      <c r="X33" s="71">
        <v>10</v>
      </c>
      <c r="Y33" s="71">
        <v>5</v>
      </c>
      <c r="Z33" s="61" t="s">
        <v>86</v>
      </c>
      <c r="AA33" s="61" t="s">
        <v>87</v>
      </c>
      <c r="AB33" s="70" t="s">
        <v>181</v>
      </c>
      <c r="AC33" s="61"/>
      <c r="AD33" s="61" t="s">
        <v>190</v>
      </c>
      <c r="AE33" s="61"/>
      <c r="AF33" s="61"/>
      <c r="AG33" s="61"/>
      <c r="AH33" s="61"/>
    </row>
    <row r="34" ht="28.5" spans="1:34">
      <c r="A34" s="61" t="s">
        <v>70</v>
      </c>
      <c r="B34" s="38" t="s">
        <v>95</v>
      </c>
      <c r="C34" s="69" t="s">
        <v>72</v>
      </c>
      <c r="D34" s="84" t="s">
        <v>191</v>
      </c>
      <c r="E34" s="38" t="s">
        <v>179</v>
      </c>
      <c r="F34" s="74" t="s">
        <v>116</v>
      </c>
      <c r="G34" s="61" t="s">
        <v>117</v>
      </c>
      <c r="H34" s="70" t="s">
        <v>118</v>
      </c>
      <c r="I34" s="70" t="s">
        <v>163</v>
      </c>
      <c r="J34" s="70" t="s">
        <v>112</v>
      </c>
      <c r="K34" s="70" t="s">
        <v>100</v>
      </c>
      <c r="L34" s="72" t="s">
        <v>113</v>
      </c>
      <c r="M34" s="73" t="s">
        <v>102</v>
      </c>
      <c r="N34" s="73" t="s">
        <v>113</v>
      </c>
      <c r="O34" s="61"/>
      <c r="P34" s="70" t="s">
        <v>100</v>
      </c>
      <c r="Q34" s="71">
        <f>VLOOKUP(E34,Sheet1!A:C,2,0)</f>
        <v>49.99</v>
      </c>
      <c r="R34" s="71">
        <f>VLOOKUP(E34,Sheet1!A:C,3,0)</f>
        <v>39.99</v>
      </c>
      <c r="S34" s="71">
        <f t="shared" si="4"/>
        <v>39.99</v>
      </c>
      <c r="T34" s="71">
        <f t="shared" si="1"/>
        <v>39.99</v>
      </c>
      <c r="U34" s="71">
        <f t="shared" si="3"/>
        <v>39.99</v>
      </c>
      <c r="V34" s="71">
        <f t="shared" si="5"/>
        <v>39.99</v>
      </c>
      <c r="W34" s="71">
        <v>5</v>
      </c>
      <c r="X34" s="71">
        <v>10</v>
      </c>
      <c r="Y34" s="71">
        <v>5</v>
      </c>
      <c r="Z34" s="61" t="s">
        <v>86</v>
      </c>
      <c r="AA34" s="61" t="s">
        <v>87</v>
      </c>
      <c r="AB34" s="70" t="s">
        <v>181</v>
      </c>
      <c r="AC34" s="61"/>
      <c r="AD34" s="61" t="s">
        <v>192</v>
      </c>
      <c r="AE34" s="61"/>
      <c r="AF34" s="61"/>
      <c r="AG34" s="61"/>
      <c r="AH34" s="61"/>
    </row>
    <row r="35" ht="28.5" spans="1:34">
      <c r="A35" s="61" t="s">
        <v>70</v>
      </c>
      <c r="B35" s="38" t="s">
        <v>95</v>
      </c>
      <c r="C35" s="69" t="s">
        <v>72</v>
      </c>
      <c r="D35" s="84" t="s">
        <v>193</v>
      </c>
      <c r="E35" s="38" t="s">
        <v>194</v>
      </c>
      <c r="F35" s="70" t="s">
        <v>195</v>
      </c>
      <c r="G35" s="61" t="s">
        <v>109</v>
      </c>
      <c r="H35" s="70" t="s">
        <v>110</v>
      </c>
      <c r="I35" s="70" t="s">
        <v>111</v>
      </c>
      <c r="J35" s="70" t="s">
        <v>112</v>
      </c>
      <c r="K35" s="70" t="s">
        <v>100</v>
      </c>
      <c r="L35" s="72" t="s">
        <v>113</v>
      </c>
      <c r="M35" s="73" t="s">
        <v>102</v>
      </c>
      <c r="N35" s="73" t="s">
        <v>113</v>
      </c>
      <c r="O35" s="61"/>
      <c r="P35" s="70" t="s">
        <v>100</v>
      </c>
      <c r="Q35" s="71">
        <f>VLOOKUP(E35,Sheet1!A:C,2,0)</f>
        <v>69.99</v>
      </c>
      <c r="R35" s="71">
        <f>VLOOKUP(E35,Sheet1!A:C,3,0)</f>
        <v>53.99</v>
      </c>
      <c r="S35" s="71">
        <f t="shared" si="4"/>
        <v>53.99</v>
      </c>
      <c r="T35" s="71">
        <f t="shared" si="1"/>
        <v>53.99</v>
      </c>
      <c r="U35" s="71">
        <f t="shared" si="3"/>
        <v>53.99</v>
      </c>
      <c r="V35" s="71">
        <f t="shared" si="5"/>
        <v>53.99</v>
      </c>
      <c r="W35" s="71">
        <v>5</v>
      </c>
      <c r="X35" s="71">
        <v>10</v>
      </c>
      <c r="Y35" s="71">
        <v>5</v>
      </c>
      <c r="Z35" s="61" t="s">
        <v>86</v>
      </c>
      <c r="AA35" s="61" t="s">
        <v>87</v>
      </c>
      <c r="AB35" s="70" t="s">
        <v>196</v>
      </c>
      <c r="AC35" s="61"/>
      <c r="AD35" s="61" t="s">
        <v>197</v>
      </c>
      <c r="AE35" s="61"/>
      <c r="AF35" s="61"/>
      <c r="AG35" s="61"/>
      <c r="AH35" s="61"/>
    </row>
    <row r="36" ht="28.5" spans="1:34">
      <c r="A36" s="61" t="s">
        <v>70</v>
      </c>
      <c r="B36" s="38" t="s">
        <v>95</v>
      </c>
      <c r="C36" s="69" t="s">
        <v>72</v>
      </c>
      <c r="D36" s="84" t="s">
        <v>198</v>
      </c>
      <c r="E36" s="38" t="s">
        <v>194</v>
      </c>
      <c r="F36" s="74" t="s">
        <v>116</v>
      </c>
      <c r="G36" s="61" t="s">
        <v>117</v>
      </c>
      <c r="H36" s="70" t="s">
        <v>118</v>
      </c>
      <c r="I36" s="61" t="s">
        <v>119</v>
      </c>
      <c r="J36" s="70" t="s">
        <v>112</v>
      </c>
      <c r="K36" s="70" t="s">
        <v>100</v>
      </c>
      <c r="L36" s="72" t="s">
        <v>113</v>
      </c>
      <c r="M36" s="73" t="s">
        <v>102</v>
      </c>
      <c r="N36" s="73" t="s">
        <v>113</v>
      </c>
      <c r="O36" s="61"/>
      <c r="P36" s="70" t="s">
        <v>100</v>
      </c>
      <c r="Q36" s="71">
        <f>VLOOKUP(E36,Sheet1!A:C,2,0)</f>
        <v>69.99</v>
      </c>
      <c r="R36" s="71">
        <f>VLOOKUP(E36,Sheet1!A:C,3,0)</f>
        <v>53.99</v>
      </c>
      <c r="S36" s="71">
        <f t="shared" si="4"/>
        <v>53.99</v>
      </c>
      <c r="T36" s="71">
        <f t="shared" si="1"/>
        <v>53.99</v>
      </c>
      <c r="U36" s="71">
        <f t="shared" si="3"/>
        <v>53.99</v>
      </c>
      <c r="V36" s="71">
        <f t="shared" si="5"/>
        <v>53.99</v>
      </c>
      <c r="W36" s="71">
        <v>5</v>
      </c>
      <c r="X36" s="71">
        <v>10</v>
      </c>
      <c r="Y36" s="71">
        <v>5</v>
      </c>
      <c r="Z36" s="61" t="s">
        <v>86</v>
      </c>
      <c r="AA36" s="61" t="s">
        <v>87</v>
      </c>
      <c r="AB36" s="70" t="s">
        <v>196</v>
      </c>
      <c r="AC36" s="61"/>
      <c r="AD36" s="61" t="s">
        <v>199</v>
      </c>
      <c r="AE36" s="61"/>
      <c r="AF36" s="61"/>
      <c r="AG36" s="61"/>
      <c r="AH36" s="61"/>
    </row>
    <row r="37" ht="28.5" spans="1:34">
      <c r="A37" s="61" t="s">
        <v>70</v>
      </c>
      <c r="B37" s="38" t="s">
        <v>95</v>
      </c>
      <c r="C37" s="69" t="s">
        <v>72</v>
      </c>
      <c r="D37" s="84" t="s">
        <v>200</v>
      </c>
      <c r="E37" s="38" t="s">
        <v>201</v>
      </c>
      <c r="F37" s="70" t="s">
        <v>158</v>
      </c>
      <c r="G37" s="61" t="s">
        <v>159</v>
      </c>
      <c r="H37" s="70" t="s">
        <v>118</v>
      </c>
      <c r="I37" s="70" t="s">
        <v>160</v>
      </c>
      <c r="J37" s="70" t="s">
        <v>112</v>
      </c>
      <c r="K37" s="70" t="s">
        <v>100</v>
      </c>
      <c r="L37" s="72" t="s">
        <v>113</v>
      </c>
      <c r="M37" s="73" t="s">
        <v>102</v>
      </c>
      <c r="N37" s="73" t="s">
        <v>113</v>
      </c>
      <c r="O37" s="61"/>
      <c r="P37" s="70" t="s">
        <v>100</v>
      </c>
      <c r="Q37" s="71">
        <f>VLOOKUP(E37,Sheet1!A:C,2,0)</f>
        <v>69.99</v>
      </c>
      <c r="R37" s="71">
        <f>VLOOKUP(E37,Sheet1!A:C,3,0)</f>
        <v>53.99</v>
      </c>
      <c r="S37" s="71">
        <f t="shared" si="4"/>
        <v>53.99</v>
      </c>
      <c r="T37" s="71">
        <f t="shared" si="1"/>
        <v>53.99</v>
      </c>
      <c r="U37" s="71">
        <f t="shared" si="3"/>
        <v>53.99</v>
      </c>
      <c r="V37" s="71">
        <f t="shared" si="5"/>
        <v>53.99</v>
      </c>
      <c r="W37" s="71">
        <v>5</v>
      </c>
      <c r="X37" s="71">
        <v>10</v>
      </c>
      <c r="Y37" s="71">
        <v>5</v>
      </c>
      <c r="Z37" s="61" t="s">
        <v>86</v>
      </c>
      <c r="AA37" s="61" t="s">
        <v>87</v>
      </c>
      <c r="AB37" s="61"/>
      <c r="AC37" s="61"/>
      <c r="AD37" s="61" t="s">
        <v>202</v>
      </c>
      <c r="AE37" s="61"/>
      <c r="AF37" s="61"/>
      <c r="AG37" s="61"/>
      <c r="AH37" s="61"/>
    </row>
    <row r="38" ht="28.5" spans="1:34">
      <c r="A38" s="61" t="s">
        <v>70</v>
      </c>
      <c r="B38" s="38" t="s">
        <v>95</v>
      </c>
      <c r="C38" s="69" t="s">
        <v>72</v>
      </c>
      <c r="D38" s="84" t="s">
        <v>203</v>
      </c>
      <c r="E38" s="38" t="s">
        <v>201</v>
      </c>
      <c r="F38" s="74" t="s">
        <v>116</v>
      </c>
      <c r="G38" s="61" t="s">
        <v>117</v>
      </c>
      <c r="H38" s="70" t="s">
        <v>118</v>
      </c>
      <c r="I38" s="70" t="s">
        <v>163</v>
      </c>
      <c r="J38" s="70" t="s">
        <v>112</v>
      </c>
      <c r="K38" s="70" t="s">
        <v>100</v>
      </c>
      <c r="L38" s="72" t="s">
        <v>113</v>
      </c>
      <c r="M38" s="73" t="s">
        <v>102</v>
      </c>
      <c r="N38" s="73" t="s">
        <v>113</v>
      </c>
      <c r="O38" s="61"/>
      <c r="P38" s="70" t="s">
        <v>100</v>
      </c>
      <c r="Q38" s="71">
        <f>VLOOKUP(E38,Sheet1!A:C,2,0)</f>
        <v>69.99</v>
      </c>
      <c r="R38" s="71">
        <f>VLOOKUP(E38,Sheet1!A:C,3,0)</f>
        <v>53.99</v>
      </c>
      <c r="S38" s="71">
        <f t="shared" si="4"/>
        <v>53.99</v>
      </c>
      <c r="T38" s="71">
        <f t="shared" si="1"/>
        <v>53.99</v>
      </c>
      <c r="U38" s="71">
        <f t="shared" si="3"/>
        <v>53.99</v>
      </c>
      <c r="V38" s="71">
        <f t="shared" si="5"/>
        <v>53.99</v>
      </c>
      <c r="W38" s="71">
        <v>5</v>
      </c>
      <c r="X38" s="71">
        <v>10</v>
      </c>
      <c r="Y38" s="71">
        <v>5</v>
      </c>
      <c r="Z38" s="61" t="s">
        <v>86</v>
      </c>
      <c r="AA38" s="61" t="s">
        <v>87</v>
      </c>
      <c r="AB38" s="61"/>
      <c r="AC38" s="61"/>
      <c r="AD38" s="61" t="s">
        <v>204</v>
      </c>
      <c r="AE38" s="61"/>
      <c r="AF38" s="61"/>
      <c r="AG38" s="61"/>
      <c r="AH38" s="61"/>
    </row>
    <row r="39" ht="28.5" spans="1:34">
      <c r="A39" s="61" t="s">
        <v>70</v>
      </c>
      <c r="B39" s="38" t="s">
        <v>95</v>
      </c>
      <c r="C39" s="69" t="s">
        <v>72</v>
      </c>
      <c r="D39" s="84" t="s">
        <v>205</v>
      </c>
      <c r="E39" s="38" t="s">
        <v>206</v>
      </c>
      <c r="F39" s="70" t="s">
        <v>158</v>
      </c>
      <c r="G39" s="61" t="s">
        <v>159</v>
      </c>
      <c r="H39" s="70" t="s">
        <v>118</v>
      </c>
      <c r="I39" s="70" t="s">
        <v>160</v>
      </c>
      <c r="J39" s="70" t="s">
        <v>112</v>
      </c>
      <c r="K39" s="70" t="s">
        <v>100</v>
      </c>
      <c r="L39" s="72" t="s">
        <v>113</v>
      </c>
      <c r="M39" s="73" t="s">
        <v>102</v>
      </c>
      <c r="N39" s="73" t="s">
        <v>113</v>
      </c>
      <c r="O39" s="61"/>
      <c r="P39" s="70" t="s">
        <v>100</v>
      </c>
      <c r="Q39" s="71">
        <f>VLOOKUP(E39,Sheet1!A:C,2,0)</f>
        <v>59.99</v>
      </c>
      <c r="R39" s="71">
        <f>VLOOKUP(E39,Sheet1!A:C,3,0)</f>
        <v>49.99</v>
      </c>
      <c r="S39" s="71">
        <f t="shared" si="4"/>
        <v>49.99</v>
      </c>
      <c r="T39" s="71">
        <f t="shared" ref="T39:T70" si="6">S39</f>
        <v>49.99</v>
      </c>
      <c r="U39" s="71">
        <f t="shared" si="3"/>
        <v>49.99</v>
      </c>
      <c r="V39" s="71">
        <f t="shared" si="5"/>
        <v>49.99</v>
      </c>
      <c r="W39" s="71">
        <v>5</v>
      </c>
      <c r="X39" s="71">
        <v>10</v>
      </c>
      <c r="Y39" s="71">
        <v>5</v>
      </c>
      <c r="Z39" s="61" t="s">
        <v>86</v>
      </c>
      <c r="AA39" s="61" t="s">
        <v>87</v>
      </c>
      <c r="AB39" s="70" t="s">
        <v>105</v>
      </c>
      <c r="AC39" s="61"/>
      <c r="AD39" s="61" t="s">
        <v>207</v>
      </c>
      <c r="AE39" s="61"/>
      <c r="AF39" s="61"/>
      <c r="AG39" s="61"/>
      <c r="AH39" s="61"/>
    </row>
    <row r="40" ht="28.5" spans="1:34">
      <c r="A40" s="61" t="s">
        <v>70</v>
      </c>
      <c r="B40" s="38" t="s">
        <v>95</v>
      </c>
      <c r="C40" s="69" t="s">
        <v>72</v>
      </c>
      <c r="D40" s="84" t="s">
        <v>208</v>
      </c>
      <c r="E40" s="38" t="s">
        <v>206</v>
      </c>
      <c r="F40" s="74" t="s">
        <v>116</v>
      </c>
      <c r="G40" s="61" t="s">
        <v>117</v>
      </c>
      <c r="H40" s="70" t="s">
        <v>118</v>
      </c>
      <c r="I40" s="70" t="s">
        <v>163</v>
      </c>
      <c r="J40" s="70" t="s">
        <v>112</v>
      </c>
      <c r="K40" s="70" t="s">
        <v>100</v>
      </c>
      <c r="L40" s="72" t="s">
        <v>113</v>
      </c>
      <c r="M40" s="73" t="s">
        <v>102</v>
      </c>
      <c r="N40" s="73" t="s">
        <v>113</v>
      </c>
      <c r="O40" s="61"/>
      <c r="P40" s="70" t="s">
        <v>100</v>
      </c>
      <c r="Q40" s="71">
        <f>VLOOKUP(E40,Sheet1!A:C,2,0)</f>
        <v>59.99</v>
      </c>
      <c r="R40" s="71">
        <f>VLOOKUP(E40,Sheet1!A:C,3,0)</f>
        <v>49.99</v>
      </c>
      <c r="S40" s="71">
        <f t="shared" si="4"/>
        <v>49.99</v>
      </c>
      <c r="T40" s="71">
        <f t="shared" si="6"/>
        <v>49.99</v>
      </c>
      <c r="U40" s="71">
        <f t="shared" si="3"/>
        <v>49.99</v>
      </c>
      <c r="V40" s="71">
        <f t="shared" si="5"/>
        <v>49.99</v>
      </c>
      <c r="W40" s="71">
        <v>5</v>
      </c>
      <c r="X40" s="71">
        <v>10</v>
      </c>
      <c r="Y40" s="71">
        <v>5</v>
      </c>
      <c r="Z40" s="61" t="s">
        <v>86</v>
      </c>
      <c r="AA40" s="61" t="s">
        <v>87</v>
      </c>
      <c r="AB40" s="70" t="s">
        <v>105</v>
      </c>
      <c r="AC40" s="61"/>
      <c r="AD40" s="61" t="s">
        <v>209</v>
      </c>
      <c r="AE40" s="61"/>
      <c r="AF40" s="61"/>
      <c r="AG40" s="61"/>
      <c r="AH40" s="61"/>
    </row>
    <row r="41" ht="28.5" spans="1:34">
      <c r="A41" s="61" t="s">
        <v>70</v>
      </c>
      <c r="B41" s="38" t="s">
        <v>95</v>
      </c>
      <c r="C41" s="69" t="s">
        <v>72</v>
      </c>
      <c r="D41" s="84" t="s">
        <v>210</v>
      </c>
      <c r="E41" s="38" t="s">
        <v>211</v>
      </c>
      <c r="F41" s="70" t="s">
        <v>158</v>
      </c>
      <c r="G41" s="61" t="s">
        <v>159</v>
      </c>
      <c r="H41" s="70" t="s">
        <v>118</v>
      </c>
      <c r="I41" s="70" t="s">
        <v>160</v>
      </c>
      <c r="J41" s="70" t="s">
        <v>112</v>
      </c>
      <c r="K41" s="70" t="s">
        <v>100</v>
      </c>
      <c r="L41" s="72" t="s">
        <v>113</v>
      </c>
      <c r="M41" s="73" t="s">
        <v>102</v>
      </c>
      <c r="N41" s="73" t="s">
        <v>113</v>
      </c>
      <c r="O41" s="61"/>
      <c r="P41" s="70" t="s">
        <v>100</v>
      </c>
      <c r="Q41" s="71">
        <f>VLOOKUP(E41,Sheet1!A:C,2,0)</f>
        <v>69.99</v>
      </c>
      <c r="R41" s="71">
        <f>VLOOKUP(E41,Sheet1!A:C,3,0)</f>
        <v>53.99</v>
      </c>
      <c r="S41" s="71">
        <f t="shared" si="4"/>
        <v>53.99</v>
      </c>
      <c r="T41" s="71">
        <f t="shared" si="6"/>
        <v>53.99</v>
      </c>
      <c r="U41" s="71">
        <f t="shared" si="3"/>
        <v>53.99</v>
      </c>
      <c r="V41" s="71">
        <f t="shared" si="5"/>
        <v>53.99</v>
      </c>
      <c r="W41" s="71">
        <v>5</v>
      </c>
      <c r="X41" s="71">
        <v>10</v>
      </c>
      <c r="Y41" s="71">
        <v>5</v>
      </c>
      <c r="Z41" s="61" t="s">
        <v>86</v>
      </c>
      <c r="AA41" s="61" t="s">
        <v>87</v>
      </c>
      <c r="AB41" s="70" t="s">
        <v>105</v>
      </c>
      <c r="AC41" s="61"/>
      <c r="AD41" s="61" t="s">
        <v>212</v>
      </c>
      <c r="AE41" s="61"/>
      <c r="AF41" s="61"/>
      <c r="AG41" s="61"/>
      <c r="AH41" s="61"/>
    </row>
    <row r="42" ht="28.5" spans="1:34">
      <c r="A42" s="61" t="s">
        <v>70</v>
      </c>
      <c r="B42" s="38" t="s">
        <v>95</v>
      </c>
      <c r="C42" s="69" t="s">
        <v>72</v>
      </c>
      <c r="D42" s="84" t="s">
        <v>213</v>
      </c>
      <c r="E42" s="38" t="s">
        <v>211</v>
      </c>
      <c r="F42" s="74" t="s">
        <v>116</v>
      </c>
      <c r="G42" s="61" t="s">
        <v>117</v>
      </c>
      <c r="H42" s="70" t="s">
        <v>118</v>
      </c>
      <c r="I42" s="70" t="s">
        <v>163</v>
      </c>
      <c r="J42" s="70" t="s">
        <v>112</v>
      </c>
      <c r="K42" s="70" t="s">
        <v>100</v>
      </c>
      <c r="L42" s="72" t="s">
        <v>113</v>
      </c>
      <c r="M42" s="73" t="s">
        <v>102</v>
      </c>
      <c r="N42" s="73" t="s">
        <v>113</v>
      </c>
      <c r="O42" s="61"/>
      <c r="P42" s="70" t="s">
        <v>100</v>
      </c>
      <c r="Q42" s="71">
        <f>VLOOKUP(E42,Sheet1!A:C,2,0)</f>
        <v>69.99</v>
      </c>
      <c r="R42" s="71">
        <f>VLOOKUP(E42,Sheet1!A:C,3,0)</f>
        <v>53.99</v>
      </c>
      <c r="S42" s="71">
        <f t="shared" si="4"/>
        <v>53.99</v>
      </c>
      <c r="T42" s="71">
        <f t="shared" si="6"/>
        <v>53.99</v>
      </c>
      <c r="U42" s="71">
        <f t="shared" si="3"/>
        <v>53.99</v>
      </c>
      <c r="V42" s="71">
        <f t="shared" si="5"/>
        <v>53.99</v>
      </c>
      <c r="W42" s="71">
        <v>5</v>
      </c>
      <c r="X42" s="71">
        <v>10</v>
      </c>
      <c r="Y42" s="71">
        <v>5</v>
      </c>
      <c r="Z42" s="61" t="s">
        <v>86</v>
      </c>
      <c r="AA42" s="61" t="s">
        <v>87</v>
      </c>
      <c r="AB42" s="70" t="s">
        <v>105</v>
      </c>
      <c r="AC42" s="61"/>
      <c r="AD42" s="61" t="s">
        <v>214</v>
      </c>
      <c r="AE42" s="61"/>
      <c r="AF42" s="61"/>
      <c r="AG42" s="61"/>
      <c r="AH42" s="61"/>
    </row>
    <row r="43" ht="28.5" spans="1:34">
      <c r="A43" s="61" t="s">
        <v>70</v>
      </c>
      <c r="B43" s="38" t="s">
        <v>95</v>
      </c>
      <c r="C43" s="69" t="s">
        <v>72</v>
      </c>
      <c r="D43" s="84" t="s">
        <v>215</v>
      </c>
      <c r="E43" s="38" t="s">
        <v>216</v>
      </c>
      <c r="F43" s="70" t="s">
        <v>108</v>
      </c>
      <c r="G43" s="61" t="s">
        <v>109</v>
      </c>
      <c r="H43" s="70" t="s">
        <v>110</v>
      </c>
      <c r="I43" s="70" t="s">
        <v>160</v>
      </c>
      <c r="J43" s="70" t="s">
        <v>112</v>
      </c>
      <c r="K43" s="70" t="s">
        <v>100</v>
      </c>
      <c r="L43" s="72" t="s">
        <v>113</v>
      </c>
      <c r="M43" s="73" t="s">
        <v>102</v>
      </c>
      <c r="N43" s="73" t="s">
        <v>113</v>
      </c>
      <c r="O43" s="61"/>
      <c r="P43" s="70" t="s">
        <v>100</v>
      </c>
      <c r="Q43" s="71">
        <f>VLOOKUP(E43,Sheet1!A:C,2,0)</f>
        <v>65.99</v>
      </c>
      <c r="R43" s="71">
        <v>45.99</v>
      </c>
      <c r="S43" s="71">
        <v>45.99</v>
      </c>
      <c r="T43" s="71">
        <v>45.99</v>
      </c>
      <c r="U43" s="71">
        <v>45.99</v>
      </c>
      <c r="V43" s="71">
        <f t="shared" si="5"/>
        <v>45.99</v>
      </c>
      <c r="W43" s="71">
        <v>5</v>
      </c>
      <c r="X43" s="71">
        <v>10</v>
      </c>
      <c r="Y43" s="71">
        <v>5</v>
      </c>
      <c r="Z43" s="61" t="s">
        <v>86</v>
      </c>
      <c r="AA43" s="61" t="s">
        <v>87</v>
      </c>
      <c r="AB43" s="70" t="s">
        <v>217</v>
      </c>
      <c r="AC43" s="61"/>
      <c r="AD43" s="61" t="s">
        <v>218</v>
      </c>
      <c r="AE43" s="61"/>
      <c r="AF43" s="61"/>
      <c r="AG43" s="61"/>
      <c r="AH43" s="61"/>
    </row>
    <row r="44" ht="28.5" spans="1:34">
      <c r="A44" s="61" t="s">
        <v>70</v>
      </c>
      <c r="B44" s="38" t="s">
        <v>95</v>
      </c>
      <c r="C44" s="69" t="s">
        <v>72</v>
      </c>
      <c r="D44" s="84" t="s">
        <v>219</v>
      </c>
      <c r="E44" s="38" t="s">
        <v>220</v>
      </c>
      <c r="F44" s="70" t="s">
        <v>108</v>
      </c>
      <c r="G44" s="61" t="s">
        <v>109</v>
      </c>
      <c r="H44" s="70" t="s">
        <v>110</v>
      </c>
      <c r="I44" s="70" t="s">
        <v>160</v>
      </c>
      <c r="J44" s="70" t="s">
        <v>112</v>
      </c>
      <c r="K44" s="70" t="s">
        <v>100</v>
      </c>
      <c r="L44" s="72" t="s">
        <v>113</v>
      </c>
      <c r="M44" s="73" t="s">
        <v>102</v>
      </c>
      <c r="N44" s="73" t="s">
        <v>113</v>
      </c>
      <c r="O44" s="61"/>
      <c r="P44" s="70" t="s">
        <v>100</v>
      </c>
      <c r="Q44" s="71">
        <f>VLOOKUP(E44,Sheet1!A:C,2,0)</f>
        <v>65.99</v>
      </c>
      <c r="R44" s="71">
        <v>45.99</v>
      </c>
      <c r="S44" s="71">
        <v>45.99</v>
      </c>
      <c r="T44" s="71">
        <v>45.99</v>
      </c>
      <c r="U44" s="71">
        <v>45.99</v>
      </c>
      <c r="V44" s="71">
        <f t="shared" si="5"/>
        <v>45.99</v>
      </c>
      <c r="W44" s="71">
        <v>5</v>
      </c>
      <c r="X44" s="71">
        <v>10</v>
      </c>
      <c r="Y44" s="71">
        <v>5</v>
      </c>
      <c r="Z44" s="61" t="s">
        <v>86</v>
      </c>
      <c r="AA44" s="61" t="s">
        <v>87</v>
      </c>
      <c r="AB44" s="70" t="s">
        <v>217</v>
      </c>
      <c r="AC44" s="61"/>
      <c r="AD44" s="61" t="s">
        <v>221</v>
      </c>
      <c r="AE44" s="61"/>
      <c r="AF44" s="61"/>
      <c r="AG44" s="61"/>
      <c r="AH44" s="61"/>
    </row>
    <row r="45" ht="28.5" spans="1:34">
      <c r="A45" s="61" t="s">
        <v>70</v>
      </c>
      <c r="B45" s="38" t="s">
        <v>95</v>
      </c>
      <c r="C45" s="69" t="s">
        <v>72</v>
      </c>
      <c r="D45" s="84" t="s">
        <v>222</v>
      </c>
      <c r="E45" s="38" t="s">
        <v>223</v>
      </c>
      <c r="F45" s="70" t="s">
        <v>158</v>
      </c>
      <c r="G45" s="61" t="s">
        <v>159</v>
      </c>
      <c r="H45" s="70" t="s">
        <v>118</v>
      </c>
      <c r="I45" s="70" t="s">
        <v>160</v>
      </c>
      <c r="J45" s="70" t="s">
        <v>112</v>
      </c>
      <c r="K45" s="70" t="s">
        <v>100</v>
      </c>
      <c r="L45" s="72" t="s">
        <v>113</v>
      </c>
      <c r="M45" s="73" t="s">
        <v>102</v>
      </c>
      <c r="N45" s="73" t="s">
        <v>113</v>
      </c>
      <c r="O45" s="61"/>
      <c r="P45" s="70" t="s">
        <v>100</v>
      </c>
      <c r="Q45" s="71">
        <f>VLOOKUP(E45,Sheet1!A:C,2,0)</f>
        <v>69.99</v>
      </c>
      <c r="R45" s="71">
        <f>VLOOKUP(E45,Sheet1!A:C,3,0)</f>
        <v>45.99</v>
      </c>
      <c r="S45" s="71">
        <f t="shared" si="4"/>
        <v>45.99</v>
      </c>
      <c r="T45" s="71">
        <f t="shared" si="6"/>
        <v>45.99</v>
      </c>
      <c r="U45" s="71">
        <v>53.99</v>
      </c>
      <c r="V45" s="71">
        <f t="shared" si="5"/>
        <v>53.99</v>
      </c>
      <c r="W45" s="71">
        <v>5</v>
      </c>
      <c r="X45" s="71">
        <v>10</v>
      </c>
      <c r="Y45" s="71">
        <v>5</v>
      </c>
      <c r="Z45" s="61" t="s">
        <v>86</v>
      </c>
      <c r="AA45" s="61" t="s">
        <v>87</v>
      </c>
      <c r="AB45" s="61"/>
      <c r="AC45" s="61"/>
      <c r="AD45" s="61" t="s">
        <v>224</v>
      </c>
      <c r="AE45" s="61"/>
      <c r="AF45" s="61"/>
      <c r="AG45" s="61"/>
      <c r="AH45" s="61"/>
    </row>
    <row r="46" ht="28.5" spans="1:34">
      <c r="A46" s="61" t="s">
        <v>70</v>
      </c>
      <c r="B46" s="38" t="s">
        <v>95</v>
      </c>
      <c r="C46" s="69" t="s">
        <v>72</v>
      </c>
      <c r="D46" s="84" t="s">
        <v>225</v>
      </c>
      <c r="E46" s="38" t="s">
        <v>226</v>
      </c>
      <c r="F46" s="70" t="s">
        <v>227</v>
      </c>
      <c r="G46" s="61" t="s">
        <v>117</v>
      </c>
      <c r="H46" s="70" t="s">
        <v>118</v>
      </c>
      <c r="I46" s="70" t="s">
        <v>228</v>
      </c>
      <c r="J46" s="70" t="s">
        <v>229</v>
      </c>
      <c r="K46" s="70" t="s">
        <v>100</v>
      </c>
      <c r="L46" s="72" t="s">
        <v>113</v>
      </c>
      <c r="M46" s="73" t="s">
        <v>102</v>
      </c>
      <c r="N46" s="73" t="s">
        <v>113</v>
      </c>
      <c r="O46" s="61"/>
      <c r="P46" s="70" t="s">
        <v>100</v>
      </c>
      <c r="Q46" s="71">
        <f>VLOOKUP(E46,Sheet1!A:C,2,0)</f>
        <v>66.65</v>
      </c>
      <c r="R46" s="71">
        <f>VLOOKUP(E46,Sheet1!A:C,3,0)</f>
        <v>39.99</v>
      </c>
      <c r="S46" s="71">
        <f t="shared" si="4"/>
        <v>39.99</v>
      </c>
      <c r="T46" s="71">
        <f t="shared" si="6"/>
        <v>39.99</v>
      </c>
      <c r="U46" s="71"/>
      <c r="V46" s="71">
        <f t="shared" si="5"/>
        <v>0</v>
      </c>
      <c r="W46" s="71">
        <v>5</v>
      </c>
      <c r="X46" s="71">
        <v>10</v>
      </c>
      <c r="Y46" s="71">
        <v>5</v>
      </c>
      <c r="Z46" s="70" t="s">
        <v>230</v>
      </c>
      <c r="AA46" s="61"/>
      <c r="AB46" s="70" t="s">
        <v>231</v>
      </c>
      <c r="AC46" s="61"/>
      <c r="AD46" s="61" t="s">
        <v>232</v>
      </c>
      <c r="AE46" s="61"/>
      <c r="AF46" s="61"/>
      <c r="AG46" s="61"/>
      <c r="AH46" s="61"/>
    </row>
    <row r="47" ht="28.5" spans="1:34">
      <c r="A47" s="61" t="s">
        <v>70</v>
      </c>
      <c r="B47" s="38" t="s">
        <v>95</v>
      </c>
      <c r="C47" s="69" t="s">
        <v>72</v>
      </c>
      <c r="D47" s="84" t="s">
        <v>233</v>
      </c>
      <c r="E47" s="38" t="s">
        <v>234</v>
      </c>
      <c r="F47" s="61" t="s">
        <v>75</v>
      </c>
      <c r="G47" s="61" t="s">
        <v>76</v>
      </c>
      <c r="H47" s="61" t="s">
        <v>77</v>
      </c>
      <c r="I47" s="70" t="s">
        <v>235</v>
      </c>
      <c r="J47" s="70" t="s">
        <v>99</v>
      </c>
      <c r="K47" s="70" t="s">
        <v>100</v>
      </c>
      <c r="L47" s="72" t="s">
        <v>236</v>
      </c>
      <c r="M47" s="73" t="s">
        <v>102</v>
      </c>
      <c r="N47" s="77" t="s">
        <v>103</v>
      </c>
      <c r="O47" s="61"/>
      <c r="P47" s="70" t="s">
        <v>100</v>
      </c>
      <c r="Q47" s="71">
        <f>VLOOKUP(E47,Sheet1!A:C,2,0)</f>
        <v>69.99</v>
      </c>
      <c r="R47" s="71">
        <f>VLOOKUP(E47,Sheet1!A:C,3,0)</f>
        <v>39.99</v>
      </c>
      <c r="S47" s="71">
        <f t="shared" si="4"/>
        <v>39.99</v>
      </c>
      <c r="T47" s="71">
        <f t="shared" si="6"/>
        <v>39.99</v>
      </c>
      <c r="U47" s="71">
        <f>VLOOKUP(E47,Sheet2!A:B,2,0)</f>
        <v>39.99</v>
      </c>
      <c r="V47" s="71">
        <f t="shared" si="5"/>
        <v>39.99</v>
      </c>
      <c r="W47" s="71">
        <v>5</v>
      </c>
      <c r="X47" s="71">
        <v>10</v>
      </c>
      <c r="Y47" s="71">
        <v>5</v>
      </c>
      <c r="Z47" s="61" t="s">
        <v>86</v>
      </c>
      <c r="AA47" s="61" t="s">
        <v>87</v>
      </c>
      <c r="AB47" s="70" t="s">
        <v>105</v>
      </c>
      <c r="AC47" s="61"/>
      <c r="AD47" s="61" t="s">
        <v>237</v>
      </c>
      <c r="AE47" s="61"/>
      <c r="AF47" s="61"/>
      <c r="AG47" s="61"/>
      <c r="AH47" s="61"/>
    </row>
    <row r="48" ht="28.5" spans="1:34">
      <c r="A48" s="61" t="s">
        <v>70</v>
      </c>
      <c r="B48" s="38" t="s">
        <v>95</v>
      </c>
      <c r="C48" s="69" t="s">
        <v>72</v>
      </c>
      <c r="D48" s="84" t="s">
        <v>238</v>
      </c>
      <c r="E48" s="38" t="s">
        <v>234</v>
      </c>
      <c r="F48" s="70" t="s">
        <v>116</v>
      </c>
      <c r="G48" s="61" t="s">
        <v>117</v>
      </c>
      <c r="H48" s="70" t="s">
        <v>118</v>
      </c>
      <c r="I48" s="61" t="s">
        <v>239</v>
      </c>
      <c r="J48" s="70" t="s">
        <v>112</v>
      </c>
      <c r="K48" s="70" t="s">
        <v>100</v>
      </c>
      <c r="L48" s="72" t="s">
        <v>236</v>
      </c>
      <c r="M48" s="73" t="s">
        <v>102</v>
      </c>
      <c r="N48" s="73" t="s">
        <v>113</v>
      </c>
      <c r="O48" s="61"/>
      <c r="P48" s="70" t="s">
        <v>100</v>
      </c>
      <c r="Q48" s="71">
        <f>VLOOKUP(E48,Sheet1!A:C,2,0)</f>
        <v>69.99</v>
      </c>
      <c r="R48" s="71">
        <f>VLOOKUP(E48,Sheet1!A:C,3,0)</f>
        <v>39.99</v>
      </c>
      <c r="S48" s="71">
        <f t="shared" si="4"/>
        <v>39.99</v>
      </c>
      <c r="T48" s="71">
        <f t="shared" si="6"/>
        <v>39.99</v>
      </c>
      <c r="U48" s="71">
        <f>VLOOKUP(E48,Sheet2!A:B,2,0)</f>
        <v>39.99</v>
      </c>
      <c r="V48" s="71">
        <f t="shared" si="5"/>
        <v>39.99</v>
      </c>
      <c r="W48" s="71">
        <v>5</v>
      </c>
      <c r="X48" s="71">
        <v>10</v>
      </c>
      <c r="Y48" s="71">
        <v>5</v>
      </c>
      <c r="Z48" s="61" t="s">
        <v>86</v>
      </c>
      <c r="AA48" s="61" t="s">
        <v>87</v>
      </c>
      <c r="AB48" s="70" t="s">
        <v>105</v>
      </c>
      <c r="AC48" s="61"/>
      <c r="AD48" s="61" t="s">
        <v>240</v>
      </c>
      <c r="AE48" s="61"/>
      <c r="AF48" s="61"/>
      <c r="AG48" s="61"/>
      <c r="AH48" s="61"/>
    </row>
    <row r="49" ht="28.5" spans="1:34">
      <c r="A49" s="61" t="s">
        <v>70</v>
      </c>
      <c r="B49" s="38" t="s">
        <v>95</v>
      </c>
      <c r="C49" s="69" t="s">
        <v>72</v>
      </c>
      <c r="D49" s="84" t="s">
        <v>241</v>
      </c>
      <c r="E49" s="38" t="s">
        <v>242</v>
      </c>
      <c r="F49" s="61" t="s">
        <v>75</v>
      </c>
      <c r="G49" s="61" t="s">
        <v>76</v>
      </c>
      <c r="H49" s="61" t="s">
        <v>77</v>
      </c>
      <c r="I49" s="70" t="s">
        <v>243</v>
      </c>
      <c r="J49" s="70" t="s">
        <v>99</v>
      </c>
      <c r="K49" s="70" t="s">
        <v>100</v>
      </c>
      <c r="L49" s="72" t="s">
        <v>244</v>
      </c>
      <c r="M49" s="73" t="s">
        <v>102</v>
      </c>
      <c r="N49" s="73" t="s">
        <v>113</v>
      </c>
      <c r="O49" s="61"/>
      <c r="P49" s="70" t="s">
        <v>100</v>
      </c>
      <c r="Q49" s="71">
        <f>VLOOKUP(E49,Sheet1!A:C,2,0)</f>
        <v>66.65</v>
      </c>
      <c r="R49" s="71">
        <f>VLOOKUP(E49,Sheet1!A:C,3,0)</f>
        <v>39.99</v>
      </c>
      <c r="S49" s="71">
        <f t="shared" si="4"/>
        <v>39.99</v>
      </c>
      <c r="T49" s="71">
        <f t="shared" si="6"/>
        <v>39.99</v>
      </c>
      <c r="U49" s="71">
        <f>VLOOKUP(E49,Sheet2!A:B,2,0)</f>
        <v>36.99</v>
      </c>
      <c r="V49" s="71">
        <f t="shared" si="5"/>
        <v>36.99</v>
      </c>
      <c r="W49" s="71">
        <v>5</v>
      </c>
      <c r="X49" s="71">
        <v>10</v>
      </c>
      <c r="Y49" s="71">
        <v>5</v>
      </c>
      <c r="Z49" s="61" t="s">
        <v>86</v>
      </c>
      <c r="AA49" s="61" t="s">
        <v>87</v>
      </c>
      <c r="AB49" s="70" t="s">
        <v>245</v>
      </c>
      <c r="AC49" s="61"/>
      <c r="AD49" s="61" t="s">
        <v>246</v>
      </c>
      <c r="AE49" s="61"/>
      <c r="AF49" s="61"/>
      <c r="AG49" s="61"/>
      <c r="AH49" s="61"/>
    </row>
    <row r="50" ht="28.5" spans="1:34">
      <c r="A50" s="61" t="s">
        <v>70</v>
      </c>
      <c r="B50" s="38" t="s">
        <v>95</v>
      </c>
      <c r="C50" s="69" t="s">
        <v>72</v>
      </c>
      <c r="D50" s="84" t="s">
        <v>247</v>
      </c>
      <c r="E50" s="38" t="s">
        <v>242</v>
      </c>
      <c r="F50" s="74" t="s">
        <v>116</v>
      </c>
      <c r="G50" s="61" t="s">
        <v>117</v>
      </c>
      <c r="H50" s="70" t="s">
        <v>118</v>
      </c>
      <c r="I50" s="61" t="s">
        <v>239</v>
      </c>
      <c r="J50" s="70" t="s">
        <v>112</v>
      </c>
      <c r="K50" s="70" t="s">
        <v>100</v>
      </c>
      <c r="L50" s="72" t="s">
        <v>244</v>
      </c>
      <c r="M50" s="73" t="s">
        <v>102</v>
      </c>
      <c r="N50" s="73" t="s">
        <v>113</v>
      </c>
      <c r="O50" s="61"/>
      <c r="P50" s="70" t="s">
        <v>100</v>
      </c>
      <c r="Q50" s="71">
        <f>VLOOKUP(E50,Sheet1!A:C,2,0)</f>
        <v>66.65</v>
      </c>
      <c r="R50" s="71">
        <f>VLOOKUP(E50,Sheet1!A:C,3,0)</f>
        <v>39.99</v>
      </c>
      <c r="S50" s="71">
        <f t="shared" si="4"/>
        <v>39.99</v>
      </c>
      <c r="T50" s="71">
        <f t="shared" si="6"/>
        <v>39.99</v>
      </c>
      <c r="U50" s="71">
        <f>VLOOKUP(E50,Sheet2!A:B,2,0)</f>
        <v>36.99</v>
      </c>
      <c r="V50" s="71">
        <f t="shared" si="5"/>
        <v>36.99</v>
      </c>
      <c r="W50" s="71">
        <v>5</v>
      </c>
      <c r="X50" s="71">
        <v>10</v>
      </c>
      <c r="Y50" s="71">
        <v>5</v>
      </c>
      <c r="Z50" s="61" t="s">
        <v>86</v>
      </c>
      <c r="AA50" s="61" t="s">
        <v>87</v>
      </c>
      <c r="AB50" s="70" t="s">
        <v>245</v>
      </c>
      <c r="AC50" s="61"/>
      <c r="AD50" s="61" t="s">
        <v>248</v>
      </c>
      <c r="AE50" s="61"/>
      <c r="AF50" s="61"/>
      <c r="AG50" s="61"/>
      <c r="AH50" s="61"/>
    </row>
    <row r="51" ht="28.5" spans="1:34">
      <c r="A51" s="61" t="s">
        <v>70</v>
      </c>
      <c r="B51" s="38" t="s">
        <v>95</v>
      </c>
      <c r="C51" s="69" t="s">
        <v>72</v>
      </c>
      <c r="D51" s="84" t="s">
        <v>249</v>
      </c>
      <c r="E51" s="10" t="s">
        <v>250</v>
      </c>
      <c r="F51" s="70" t="s">
        <v>180</v>
      </c>
      <c r="G51" s="61" t="s">
        <v>159</v>
      </c>
      <c r="H51" s="70" t="s">
        <v>118</v>
      </c>
      <c r="I51" s="70" t="s">
        <v>251</v>
      </c>
      <c r="J51" s="70" t="s">
        <v>252</v>
      </c>
      <c r="K51" s="70" t="s">
        <v>100</v>
      </c>
      <c r="L51" s="72" t="s">
        <v>113</v>
      </c>
      <c r="M51" s="73" t="s">
        <v>102</v>
      </c>
      <c r="N51" s="73" t="s">
        <v>113</v>
      </c>
      <c r="O51" s="61"/>
      <c r="P51" s="70" t="s">
        <v>100</v>
      </c>
      <c r="Q51" s="71">
        <v>66.99</v>
      </c>
      <c r="R51" s="71">
        <v>29.99</v>
      </c>
      <c r="S51" s="71">
        <f t="shared" si="4"/>
        <v>29.99</v>
      </c>
      <c r="T51" s="71">
        <f t="shared" si="6"/>
        <v>29.99</v>
      </c>
      <c r="U51" s="71">
        <f>T51</f>
        <v>29.99</v>
      </c>
      <c r="V51" s="71">
        <f t="shared" si="5"/>
        <v>29.99</v>
      </c>
      <c r="W51" s="71">
        <v>5</v>
      </c>
      <c r="X51" s="71">
        <v>10</v>
      </c>
      <c r="Y51" s="71">
        <v>5</v>
      </c>
      <c r="Z51" s="70" t="s">
        <v>230</v>
      </c>
      <c r="AA51" s="61"/>
      <c r="AB51" s="70" t="s">
        <v>253</v>
      </c>
      <c r="AC51" s="61"/>
      <c r="AD51" s="61" t="s">
        <v>254</v>
      </c>
      <c r="AE51" s="61"/>
      <c r="AF51" s="61"/>
      <c r="AG51" s="61"/>
      <c r="AH51" s="61"/>
    </row>
    <row r="52" ht="28.5" spans="1:34">
      <c r="A52" s="61" t="s">
        <v>70</v>
      </c>
      <c r="B52" s="38" t="s">
        <v>95</v>
      </c>
      <c r="C52" s="69" t="s">
        <v>72</v>
      </c>
      <c r="D52" s="84" t="s">
        <v>255</v>
      </c>
      <c r="E52" s="10" t="s">
        <v>250</v>
      </c>
      <c r="F52" s="74" t="s">
        <v>116</v>
      </c>
      <c r="G52" s="61" t="s">
        <v>117</v>
      </c>
      <c r="H52" s="70" t="s">
        <v>118</v>
      </c>
      <c r="I52" s="70" t="s">
        <v>228</v>
      </c>
      <c r="J52" s="70" t="s">
        <v>252</v>
      </c>
      <c r="K52" s="70" t="s">
        <v>100</v>
      </c>
      <c r="L52" s="72" t="s">
        <v>113</v>
      </c>
      <c r="M52" s="73" t="s">
        <v>102</v>
      </c>
      <c r="N52" s="73" t="s">
        <v>113</v>
      </c>
      <c r="O52" s="61"/>
      <c r="P52" s="70" t="s">
        <v>100</v>
      </c>
      <c r="Q52" s="71">
        <v>66.99</v>
      </c>
      <c r="R52" s="71">
        <v>29.99</v>
      </c>
      <c r="S52" s="71">
        <f t="shared" si="4"/>
        <v>29.99</v>
      </c>
      <c r="T52" s="71">
        <f t="shared" si="6"/>
        <v>29.99</v>
      </c>
      <c r="U52" s="71">
        <f>T52</f>
        <v>29.99</v>
      </c>
      <c r="V52" s="71">
        <f t="shared" si="5"/>
        <v>29.99</v>
      </c>
      <c r="W52" s="71">
        <v>5</v>
      </c>
      <c r="X52" s="71">
        <v>10</v>
      </c>
      <c r="Y52" s="71">
        <v>5</v>
      </c>
      <c r="Z52" s="70" t="s">
        <v>230</v>
      </c>
      <c r="AA52" s="61"/>
      <c r="AB52" s="70" t="s">
        <v>253</v>
      </c>
      <c r="AC52" s="61"/>
      <c r="AD52" s="61" t="s">
        <v>256</v>
      </c>
      <c r="AE52" s="61"/>
      <c r="AF52" s="61"/>
      <c r="AG52" s="61"/>
      <c r="AH52" s="61"/>
    </row>
    <row r="53" ht="28.5" spans="1:34">
      <c r="A53" s="61" t="s">
        <v>70</v>
      </c>
      <c r="B53" s="38" t="s">
        <v>95</v>
      </c>
      <c r="C53" s="69" t="s">
        <v>72</v>
      </c>
      <c r="D53" s="84" t="s">
        <v>257</v>
      </c>
      <c r="E53" s="10" t="s">
        <v>258</v>
      </c>
      <c r="F53" s="70" t="s">
        <v>180</v>
      </c>
      <c r="G53" s="61" t="s">
        <v>159</v>
      </c>
      <c r="H53" s="70" t="s">
        <v>118</v>
      </c>
      <c r="I53" s="70" t="s">
        <v>251</v>
      </c>
      <c r="J53" s="70" t="s">
        <v>229</v>
      </c>
      <c r="K53" s="70" t="s">
        <v>100</v>
      </c>
      <c r="L53" s="72" t="s">
        <v>113</v>
      </c>
      <c r="M53" s="73" t="s">
        <v>102</v>
      </c>
      <c r="N53" s="73" t="s">
        <v>113</v>
      </c>
      <c r="O53" s="61"/>
      <c r="P53" s="70" t="s">
        <v>100</v>
      </c>
      <c r="Q53" s="71">
        <f>VLOOKUP(E53,Sheet1!A:C,2,0)</f>
        <v>94.99</v>
      </c>
      <c r="R53" s="71">
        <f>VLOOKUP(E53,Sheet1!A:C,3,0)</f>
        <v>56.99</v>
      </c>
      <c r="S53" s="71">
        <f t="shared" si="4"/>
        <v>56.99</v>
      </c>
      <c r="T53" s="71">
        <f t="shared" si="6"/>
        <v>56.99</v>
      </c>
      <c r="U53" s="71">
        <f>VLOOKUP(E53,Sheet2!A:B,2,0)</f>
        <v>53.99</v>
      </c>
      <c r="V53" s="71">
        <f t="shared" si="5"/>
        <v>53.99</v>
      </c>
      <c r="W53" s="71">
        <v>5</v>
      </c>
      <c r="X53" s="71">
        <v>10</v>
      </c>
      <c r="Y53" s="71">
        <v>5</v>
      </c>
      <c r="Z53" s="70" t="s">
        <v>230</v>
      </c>
      <c r="AA53" s="61"/>
      <c r="AB53" s="70" t="s">
        <v>231</v>
      </c>
      <c r="AC53" s="61"/>
      <c r="AD53" s="61" t="s">
        <v>259</v>
      </c>
      <c r="AE53" s="61"/>
      <c r="AF53" s="61"/>
      <c r="AG53" s="61"/>
      <c r="AH53" s="61"/>
    </row>
    <row r="54" ht="28.5" spans="1:34">
      <c r="A54" s="61" t="s">
        <v>70</v>
      </c>
      <c r="B54" s="38" t="s">
        <v>95</v>
      </c>
      <c r="C54" s="69" t="s">
        <v>72</v>
      </c>
      <c r="D54" s="84" t="s">
        <v>260</v>
      </c>
      <c r="E54" s="1" t="s">
        <v>261</v>
      </c>
      <c r="F54" s="70" t="s">
        <v>180</v>
      </c>
      <c r="G54" s="61" t="s">
        <v>159</v>
      </c>
      <c r="H54" s="70" t="s">
        <v>118</v>
      </c>
      <c r="I54" s="70" t="s">
        <v>251</v>
      </c>
      <c r="J54" s="70" t="s">
        <v>262</v>
      </c>
      <c r="K54" s="70" t="s">
        <v>100</v>
      </c>
      <c r="L54" s="72" t="s">
        <v>113</v>
      </c>
      <c r="M54" s="73" t="s">
        <v>102</v>
      </c>
      <c r="N54" s="73" t="s">
        <v>113</v>
      </c>
      <c r="O54" s="61"/>
      <c r="P54" s="70" t="s">
        <v>100</v>
      </c>
      <c r="Q54" s="71">
        <f>VLOOKUP(E54,Sheet1!A:C,2,0)</f>
        <v>44.99</v>
      </c>
      <c r="R54" s="71">
        <f>VLOOKUP(E54,Sheet1!A:C,3,0)</f>
        <v>26.99</v>
      </c>
      <c r="S54" s="71">
        <f t="shared" si="4"/>
        <v>26.99</v>
      </c>
      <c r="T54" s="71">
        <f t="shared" si="6"/>
        <v>26.99</v>
      </c>
      <c r="U54" s="71"/>
      <c r="V54" s="71">
        <f t="shared" si="5"/>
        <v>0</v>
      </c>
      <c r="W54" s="71">
        <v>5</v>
      </c>
      <c r="X54" s="71">
        <v>10</v>
      </c>
      <c r="Y54" s="71">
        <v>5</v>
      </c>
      <c r="Z54" s="70" t="s">
        <v>230</v>
      </c>
      <c r="AA54" s="61"/>
      <c r="AB54" s="61"/>
      <c r="AC54" s="61"/>
      <c r="AD54" s="61" t="s">
        <v>263</v>
      </c>
      <c r="AE54" s="61"/>
      <c r="AF54" s="61"/>
      <c r="AG54" s="61"/>
      <c r="AH54" s="61"/>
    </row>
    <row r="55" ht="28.5" spans="1:34">
      <c r="A55" s="61" t="s">
        <v>70</v>
      </c>
      <c r="B55" s="38" t="s">
        <v>95</v>
      </c>
      <c r="C55" s="69" t="s">
        <v>72</v>
      </c>
      <c r="D55" s="84" t="s">
        <v>264</v>
      </c>
      <c r="E55" s="31" t="s">
        <v>265</v>
      </c>
      <c r="F55" s="70" t="s">
        <v>227</v>
      </c>
      <c r="G55" s="61" t="s">
        <v>117</v>
      </c>
      <c r="H55" s="70" t="s">
        <v>118</v>
      </c>
      <c r="I55" s="70" t="s">
        <v>228</v>
      </c>
      <c r="J55" s="70" t="s">
        <v>112</v>
      </c>
      <c r="K55" s="70" t="s">
        <v>100</v>
      </c>
      <c r="L55" s="72" t="s">
        <v>113</v>
      </c>
      <c r="M55" s="73" t="s">
        <v>102</v>
      </c>
      <c r="N55" s="73" t="s">
        <v>113</v>
      </c>
      <c r="O55" s="61"/>
      <c r="P55" s="70" t="s">
        <v>100</v>
      </c>
      <c r="Q55" s="71">
        <v>36.99</v>
      </c>
      <c r="R55" s="71">
        <v>18.99</v>
      </c>
      <c r="S55" s="71">
        <f t="shared" si="4"/>
        <v>18.99</v>
      </c>
      <c r="T55" s="71">
        <f t="shared" si="6"/>
        <v>18.99</v>
      </c>
      <c r="U55" s="71"/>
      <c r="V55" s="71">
        <f t="shared" si="5"/>
        <v>0</v>
      </c>
      <c r="W55" s="71">
        <v>5</v>
      </c>
      <c r="X55" s="71">
        <v>10</v>
      </c>
      <c r="Y55" s="71">
        <v>5</v>
      </c>
      <c r="Z55" s="70" t="s">
        <v>230</v>
      </c>
      <c r="AA55" s="61"/>
      <c r="AB55" s="61"/>
      <c r="AC55" s="61"/>
      <c r="AD55" s="61" t="s">
        <v>266</v>
      </c>
      <c r="AE55" s="61"/>
      <c r="AF55" s="61"/>
      <c r="AG55" s="61"/>
      <c r="AH55" s="61"/>
    </row>
    <row r="56" ht="28.5" spans="1:34">
      <c r="A56" s="61" t="s">
        <v>70</v>
      </c>
      <c r="B56" s="38" t="s">
        <v>95</v>
      </c>
      <c r="C56" s="69" t="s">
        <v>72</v>
      </c>
      <c r="D56" s="84" t="s">
        <v>267</v>
      </c>
      <c r="E56" s="39" t="s">
        <v>268</v>
      </c>
      <c r="F56" s="61" t="s">
        <v>75</v>
      </c>
      <c r="G56" s="61" t="s">
        <v>76</v>
      </c>
      <c r="H56" s="61" t="s">
        <v>77</v>
      </c>
      <c r="I56" s="70" t="s">
        <v>235</v>
      </c>
      <c r="J56" s="70" t="s">
        <v>229</v>
      </c>
      <c r="K56" s="70" t="s">
        <v>100</v>
      </c>
      <c r="L56" s="72" t="s">
        <v>244</v>
      </c>
      <c r="M56" s="73" t="s">
        <v>102</v>
      </c>
      <c r="N56" s="77" t="s">
        <v>103</v>
      </c>
      <c r="O56" s="61"/>
      <c r="P56" s="70" t="s">
        <v>100</v>
      </c>
      <c r="Q56" s="71">
        <v>66.99</v>
      </c>
      <c r="R56" s="71">
        <v>39.99</v>
      </c>
      <c r="S56" s="71">
        <f t="shared" si="4"/>
        <v>39.99</v>
      </c>
      <c r="T56" s="71">
        <f t="shared" si="6"/>
        <v>39.99</v>
      </c>
      <c r="U56" s="71">
        <f>VLOOKUP(E56,Sheet2!A:B,2,0)</f>
        <v>35.99</v>
      </c>
      <c r="V56" s="71">
        <f t="shared" si="5"/>
        <v>35.99</v>
      </c>
      <c r="W56" s="71">
        <v>5</v>
      </c>
      <c r="X56" s="71">
        <v>10</v>
      </c>
      <c r="Y56" s="71">
        <v>5</v>
      </c>
      <c r="Z56" s="70" t="s">
        <v>230</v>
      </c>
      <c r="AA56" s="61"/>
      <c r="AB56" s="61"/>
      <c r="AC56" s="61"/>
      <c r="AD56" s="61" t="s">
        <v>269</v>
      </c>
      <c r="AE56" s="61"/>
      <c r="AF56" s="61"/>
      <c r="AG56" s="61"/>
      <c r="AH56" s="61"/>
    </row>
    <row r="57" ht="28.5" spans="1:34">
      <c r="A57" s="61" t="s">
        <v>70</v>
      </c>
      <c r="B57" s="38" t="s">
        <v>95</v>
      </c>
      <c r="C57" s="69" t="s">
        <v>72</v>
      </c>
      <c r="D57" s="84" t="s">
        <v>270</v>
      </c>
      <c r="E57" s="39" t="s">
        <v>268</v>
      </c>
      <c r="F57" s="70" t="s">
        <v>116</v>
      </c>
      <c r="G57" s="61" t="s">
        <v>117</v>
      </c>
      <c r="H57" s="70" t="s">
        <v>118</v>
      </c>
      <c r="I57" s="70" t="s">
        <v>228</v>
      </c>
      <c r="J57" s="70" t="s">
        <v>229</v>
      </c>
      <c r="K57" s="70" t="s">
        <v>100</v>
      </c>
      <c r="L57" s="72" t="s">
        <v>244</v>
      </c>
      <c r="M57" s="73" t="s">
        <v>102</v>
      </c>
      <c r="N57" s="73" t="s">
        <v>113</v>
      </c>
      <c r="O57" s="61"/>
      <c r="P57" s="70" t="s">
        <v>100</v>
      </c>
      <c r="Q57" s="71">
        <v>66.99</v>
      </c>
      <c r="R57" s="71">
        <v>39.99</v>
      </c>
      <c r="S57" s="71">
        <f t="shared" ref="S57:S88" si="7">R57</f>
        <v>39.99</v>
      </c>
      <c r="T57" s="71">
        <f t="shared" si="6"/>
        <v>39.99</v>
      </c>
      <c r="U57" s="71">
        <f>VLOOKUP(E57,Sheet2!A:B,2,0)</f>
        <v>35.99</v>
      </c>
      <c r="V57" s="71">
        <f t="shared" ref="V57:V88" si="8">U57</f>
        <v>35.99</v>
      </c>
      <c r="W57" s="71">
        <v>5</v>
      </c>
      <c r="X57" s="71">
        <v>10</v>
      </c>
      <c r="Y57" s="71">
        <v>5</v>
      </c>
      <c r="Z57" s="70" t="s">
        <v>230</v>
      </c>
      <c r="AA57" s="61"/>
      <c r="AB57" s="61"/>
      <c r="AC57" s="61"/>
      <c r="AD57" s="61" t="s">
        <v>271</v>
      </c>
      <c r="AE57" s="61"/>
      <c r="AF57" s="61"/>
      <c r="AG57" s="61"/>
      <c r="AH57" s="61"/>
    </row>
    <row r="58" ht="28.5" spans="1:34">
      <c r="A58" s="61" t="s">
        <v>70</v>
      </c>
      <c r="B58" s="38" t="s">
        <v>95</v>
      </c>
      <c r="C58" s="69" t="s">
        <v>72</v>
      </c>
      <c r="D58" s="84" t="s">
        <v>272</v>
      </c>
      <c r="E58" s="39" t="s">
        <v>273</v>
      </c>
      <c r="F58" s="70" t="s">
        <v>180</v>
      </c>
      <c r="G58" s="61" t="s">
        <v>159</v>
      </c>
      <c r="H58" s="70" t="s">
        <v>118</v>
      </c>
      <c r="I58" s="70" t="s">
        <v>251</v>
      </c>
      <c r="J58" s="70" t="s">
        <v>252</v>
      </c>
      <c r="K58" s="70" t="s">
        <v>100</v>
      </c>
      <c r="L58" s="72" t="s">
        <v>113</v>
      </c>
      <c r="M58" s="73" t="s">
        <v>102</v>
      </c>
      <c r="N58" s="73" t="s">
        <v>113</v>
      </c>
      <c r="O58" s="61"/>
      <c r="P58" s="70" t="s">
        <v>100</v>
      </c>
      <c r="Q58" s="71">
        <f>VLOOKUP(E58,Sheet1!A:C,2,0)</f>
        <v>54.98</v>
      </c>
      <c r="R58" s="71">
        <f>VLOOKUP(E58,Sheet1!A:C,3,0)</f>
        <v>29.99</v>
      </c>
      <c r="S58" s="71">
        <f t="shared" si="7"/>
        <v>29.99</v>
      </c>
      <c r="T58" s="71">
        <f t="shared" si="6"/>
        <v>29.99</v>
      </c>
      <c r="U58" s="71">
        <f>VLOOKUP(E58,Sheet2!A:B,2,0)</f>
        <v>29.99</v>
      </c>
      <c r="V58" s="71">
        <f t="shared" si="8"/>
        <v>29.99</v>
      </c>
      <c r="W58" s="71">
        <v>5</v>
      </c>
      <c r="X58" s="71">
        <v>10</v>
      </c>
      <c r="Y58" s="71">
        <v>5</v>
      </c>
      <c r="Z58" s="70" t="s">
        <v>230</v>
      </c>
      <c r="AA58" s="61"/>
      <c r="AB58" s="61"/>
      <c r="AC58" s="61"/>
      <c r="AD58" s="61" t="s">
        <v>274</v>
      </c>
      <c r="AE58" s="61"/>
      <c r="AF58" s="61"/>
      <c r="AG58" s="61"/>
      <c r="AH58" s="61"/>
    </row>
    <row r="59" ht="28.5" spans="1:34">
      <c r="A59" s="61" t="s">
        <v>70</v>
      </c>
      <c r="B59" s="38" t="s">
        <v>95</v>
      </c>
      <c r="C59" s="69" t="s">
        <v>72</v>
      </c>
      <c r="D59" s="84" t="s">
        <v>275</v>
      </c>
      <c r="E59" s="39" t="s">
        <v>273</v>
      </c>
      <c r="F59" s="70" t="s">
        <v>116</v>
      </c>
      <c r="G59" s="61" t="s">
        <v>117</v>
      </c>
      <c r="H59" s="70" t="s">
        <v>118</v>
      </c>
      <c r="I59" s="70" t="s">
        <v>228</v>
      </c>
      <c r="J59" s="70" t="s">
        <v>252</v>
      </c>
      <c r="K59" s="70" t="s">
        <v>100</v>
      </c>
      <c r="L59" s="72" t="s">
        <v>113</v>
      </c>
      <c r="M59" s="73" t="s">
        <v>102</v>
      </c>
      <c r="N59" s="73" t="s">
        <v>113</v>
      </c>
      <c r="O59" s="61"/>
      <c r="P59" s="70" t="s">
        <v>100</v>
      </c>
      <c r="Q59" s="71">
        <f>VLOOKUP(E59,Sheet1!A:C,2,0)</f>
        <v>54.98</v>
      </c>
      <c r="R59" s="71">
        <f>VLOOKUP(E59,Sheet1!A:C,3,0)</f>
        <v>29.99</v>
      </c>
      <c r="S59" s="71">
        <f t="shared" si="7"/>
        <v>29.99</v>
      </c>
      <c r="T59" s="71">
        <f t="shared" si="6"/>
        <v>29.99</v>
      </c>
      <c r="U59" s="71">
        <f>VLOOKUP(E59,Sheet2!A:B,2,0)</f>
        <v>29.99</v>
      </c>
      <c r="V59" s="71">
        <f t="shared" si="8"/>
        <v>29.99</v>
      </c>
      <c r="W59" s="71">
        <v>5</v>
      </c>
      <c r="X59" s="71">
        <v>10</v>
      </c>
      <c r="Y59" s="71">
        <v>5</v>
      </c>
      <c r="Z59" s="70" t="s">
        <v>230</v>
      </c>
      <c r="AA59" s="61"/>
      <c r="AB59" s="61"/>
      <c r="AC59" s="61"/>
      <c r="AD59" s="61" t="s">
        <v>276</v>
      </c>
      <c r="AE59" s="61"/>
      <c r="AF59" s="61"/>
      <c r="AG59" s="61"/>
      <c r="AH59" s="61"/>
    </row>
    <row r="60" ht="28.5" spans="1:34">
      <c r="A60" s="61" t="s">
        <v>70</v>
      </c>
      <c r="B60" s="38" t="s">
        <v>95</v>
      </c>
      <c r="C60" s="69" t="s">
        <v>72</v>
      </c>
      <c r="D60" s="84" t="s">
        <v>277</v>
      </c>
      <c r="E60" s="39" t="s">
        <v>273</v>
      </c>
      <c r="F60" s="70" t="s">
        <v>116</v>
      </c>
      <c r="G60" s="61" t="s">
        <v>117</v>
      </c>
      <c r="H60" s="70" t="s">
        <v>118</v>
      </c>
      <c r="I60" s="70" t="s">
        <v>228</v>
      </c>
      <c r="J60" s="70" t="s">
        <v>252</v>
      </c>
      <c r="K60" s="70" t="s">
        <v>100</v>
      </c>
      <c r="L60" s="72" t="s">
        <v>113</v>
      </c>
      <c r="M60" s="73" t="s">
        <v>102</v>
      </c>
      <c r="N60" s="73" t="s">
        <v>113</v>
      </c>
      <c r="O60" s="61"/>
      <c r="P60" s="70" t="s">
        <v>100</v>
      </c>
      <c r="Q60" s="71">
        <f>VLOOKUP(E60,Sheet1!A:C,2,0)</f>
        <v>54.98</v>
      </c>
      <c r="R60" s="71">
        <f>VLOOKUP(E60,Sheet1!A:C,3,0)</f>
        <v>29.99</v>
      </c>
      <c r="S60" s="71">
        <f t="shared" si="7"/>
        <v>29.99</v>
      </c>
      <c r="T60" s="71">
        <f t="shared" si="6"/>
        <v>29.99</v>
      </c>
      <c r="U60" s="71">
        <f>VLOOKUP(E60,Sheet2!A:B,2,0)</f>
        <v>29.99</v>
      </c>
      <c r="V60" s="71">
        <f t="shared" si="8"/>
        <v>29.99</v>
      </c>
      <c r="W60" s="71">
        <v>5</v>
      </c>
      <c r="X60" s="71">
        <v>10</v>
      </c>
      <c r="Y60" s="71">
        <v>5</v>
      </c>
      <c r="Z60" s="70" t="s">
        <v>230</v>
      </c>
      <c r="AA60" s="61"/>
      <c r="AB60" s="61"/>
      <c r="AC60" s="61"/>
      <c r="AD60" s="61" t="s">
        <v>278</v>
      </c>
      <c r="AE60" s="61"/>
      <c r="AF60" s="61"/>
      <c r="AG60" s="61"/>
      <c r="AH60" s="61"/>
    </row>
    <row r="61" ht="28.5" spans="1:34">
      <c r="A61" s="61" t="s">
        <v>70</v>
      </c>
      <c r="B61" s="38" t="s">
        <v>95</v>
      </c>
      <c r="C61" s="69" t="s">
        <v>72</v>
      </c>
      <c r="D61" s="84" t="s">
        <v>279</v>
      </c>
      <c r="E61" s="39" t="s">
        <v>280</v>
      </c>
      <c r="F61" s="70" t="s">
        <v>180</v>
      </c>
      <c r="G61" s="61" t="s">
        <v>159</v>
      </c>
      <c r="H61" s="70" t="s">
        <v>118</v>
      </c>
      <c r="I61" s="70" t="s">
        <v>251</v>
      </c>
      <c r="J61" s="70" t="s">
        <v>252</v>
      </c>
      <c r="K61" s="70" t="s">
        <v>100</v>
      </c>
      <c r="L61" s="72" t="s">
        <v>113</v>
      </c>
      <c r="M61" s="73" t="s">
        <v>102</v>
      </c>
      <c r="N61" s="73" t="s">
        <v>113</v>
      </c>
      <c r="O61" s="61"/>
      <c r="P61" s="70" t="s">
        <v>100</v>
      </c>
      <c r="Q61" s="71">
        <f>VLOOKUP(E61,Sheet1!A:C,2,0)</f>
        <v>49.99</v>
      </c>
      <c r="R61" s="71">
        <f>VLOOKUP(E61,Sheet1!A:C,3,0)</f>
        <v>29.99</v>
      </c>
      <c r="S61" s="71">
        <f t="shared" si="7"/>
        <v>29.99</v>
      </c>
      <c r="T61" s="71">
        <f t="shared" si="6"/>
        <v>29.99</v>
      </c>
      <c r="U61" s="71">
        <f>VLOOKUP(E61,Sheet2!A:B,2,0)</f>
        <v>29.99</v>
      </c>
      <c r="V61" s="71">
        <f t="shared" si="8"/>
        <v>29.99</v>
      </c>
      <c r="W61" s="71">
        <v>5</v>
      </c>
      <c r="X61" s="71">
        <v>10</v>
      </c>
      <c r="Y61" s="71">
        <v>5</v>
      </c>
      <c r="Z61" s="70" t="s">
        <v>230</v>
      </c>
      <c r="AA61" s="61"/>
      <c r="AB61" s="61"/>
      <c r="AC61" s="61"/>
      <c r="AD61" s="61" t="s">
        <v>281</v>
      </c>
      <c r="AE61" s="61"/>
      <c r="AF61" s="61"/>
      <c r="AG61" s="61"/>
      <c r="AH61" s="61"/>
    </row>
    <row r="62" ht="28.5" spans="1:34">
      <c r="A62" s="61" t="s">
        <v>70</v>
      </c>
      <c r="B62" s="38" t="s">
        <v>95</v>
      </c>
      <c r="C62" s="69" t="s">
        <v>72</v>
      </c>
      <c r="D62" s="84" t="s">
        <v>282</v>
      </c>
      <c r="E62" s="39" t="s">
        <v>280</v>
      </c>
      <c r="F62" s="70" t="s">
        <v>116</v>
      </c>
      <c r="G62" s="61" t="s">
        <v>117</v>
      </c>
      <c r="H62" s="70" t="s">
        <v>118</v>
      </c>
      <c r="I62" s="70" t="s">
        <v>228</v>
      </c>
      <c r="J62" s="70" t="s">
        <v>252</v>
      </c>
      <c r="K62" s="70" t="s">
        <v>100</v>
      </c>
      <c r="L62" s="72" t="s">
        <v>113</v>
      </c>
      <c r="M62" s="73" t="s">
        <v>102</v>
      </c>
      <c r="N62" s="73" t="s">
        <v>113</v>
      </c>
      <c r="O62" s="61"/>
      <c r="P62" s="70" t="s">
        <v>100</v>
      </c>
      <c r="Q62" s="71">
        <f>VLOOKUP(E62,Sheet1!A:C,2,0)</f>
        <v>49.99</v>
      </c>
      <c r="R62" s="71">
        <f>VLOOKUP(E62,Sheet1!A:C,3,0)</f>
        <v>29.99</v>
      </c>
      <c r="S62" s="71">
        <f t="shared" si="7"/>
        <v>29.99</v>
      </c>
      <c r="T62" s="71">
        <f t="shared" si="6"/>
        <v>29.99</v>
      </c>
      <c r="U62" s="71">
        <f>VLOOKUP(E62,Sheet2!A:B,2,0)</f>
        <v>29.99</v>
      </c>
      <c r="V62" s="71">
        <f t="shared" si="8"/>
        <v>29.99</v>
      </c>
      <c r="W62" s="71">
        <v>5</v>
      </c>
      <c r="X62" s="71">
        <v>10</v>
      </c>
      <c r="Y62" s="71">
        <v>5</v>
      </c>
      <c r="Z62" s="70" t="s">
        <v>230</v>
      </c>
      <c r="AA62" s="61"/>
      <c r="AB62" s="61"/>
      <c r="AC62" s="61"/>
      <c r="AD62" s="61" t="s">
        <v>283</v>
      </c>
      <c r="AE62" s="61"/>
      <c r="AF62" s="61"/>
      <c r="AG62" s="61"/>
      <c r="AH62" s="61"/>
    </row>
    <row r="63" ht="28.5" spans="1:34">
      <c r="A63" s="61" t="s">
        <v>70</v>
      </c>
      <c r="B63" s="38" t="s">
        <v>95</v>
      </c>
      <c r="C63" s="69" t="s">
        <v>72</v>
      </c>
      <c r="D63" s="84" t="s">
        <v>284</v>
      </c>
      <c r="E63" s="39" t="s">
        <v>285</v>
      </c>
      <c r="F63" s="70" t="s">
        <v>180</v>
      </c>
      <c r="G63" s="61" t="s">
        <v>159</v>
      </c>
      <c r="H63" s="70" t="s">
        <v>118</v>
      </c>
      <c r="I63" s="70" t="s">
        <v>251</v>
      </c>
      <c r="J63" s="70" t="s">
        <v>252</v>
      </c>
      <c r="K63" s="70" t="s">
        <v>100</v>
      </c>
      <c r="L63" s="72" t="s">
        <v>113</v>
      </c>
      <c r="M63" s="73" t="s">
        <v>102</v>
      </c>
      <c r="N63" s="73" t="s">
        <v>113</v>
      </c>
      <c r="O63" s="61"/>
      <c r="P63" s="70" t="s">
        <v>100</v>
      </c>
      <c r="Q63" s="71">
        <f>VLOOKUP(E63,Sheet1!A:C,2,0)</f>
        <v>58.99</v>
      </c>
      <c r="R63" s="71">
        <f>VLOOKUP(E63,Sheet1!A:C,3,0)</f>
        <v>32.99</v>
      </c>
      <c r="S63" s="71">
        <f t="shared" si="7"/>
        <v>32.99</v>
      </c>
      <c r="T63" s="71">
        <f t="shared" si="6"/>
        <v>32.99</v>
      </c>
      <c r="U63" s="71">
        <f>VLOOKUP(E63,Sheet2!A:B,2,0)</f>
        <v>32.99</v>
      </c>
      <c r="V63" s="71">
        <f t="shared" si="8"/>
        <v>32.99</v>
      </c>
      <c r="W63" s="71">
        <v>5</v>
      </c>
      <c r="X63" s="71">
        <v>10</v>
      </c>
      <c r="Y63" s="71">
        <v>5</v>
      </c>
      <c r="Z63" s="70" t="s">
        <v>230</v>
      </c>
      <c r="AA63" s="61"/>
      <c r="AB63" s="61"/>
      <c r="AC63" s="61"/>
      <c r="AD63" s="61" t="s">
        <v>286</v>
      </c>
      <c r="AE63" s="61"/>
      <c r="AF63" s="61"/>
      <c r="AG63" s="61"/>
      <c r="AH63" s="61"/>
    </row>
    <row r="64" ht="28.5" spans="1:34">
      <c r="A64" s="61" t="s">
        <v>70</v>
      </c>
      <c r="B64" s="38" t="s">
        <v>95</v>
      </c>
      <c r="C64" s="69" t="s">
        <v>72</v>
      </c>
      <c r="D64" s="84" t="s">
        <v>287</v>
      </c>
      <c r="E64" s="39" t="s">
        <v>285</v>
      </c>
      <c r="F64" s="70" t="s">
        <v>116</v>
      </c>
      <c r="G64" s="61" t="s">
        <v>117</v>
      </c>
      <c r="H64" s="70" t="s">
        <v>118</v>
      </c>
      <c r="I64" s="70" t="s">
        <v>228</v>
      </c>
      <c r="J64" s="70" t="s">
        <v>252</v>
      </c>
      <c r="K64" s="70" t="s">
        <v>100</v>
      </c>
      <c r="L64" s="72" t="s">
        <v>113</v>
      </c>
      <c r="M64" s="73" t="s">
        <v>102</v>
      </c>
      <c r="N64" s="73" t="s">
        <v>113</v>
      </c>
      <c r="O64" s="61"/>
      <c r="P64" s="70" t="s">
        <v>100</v>
      </c>
      <c r="Q64" s="71">
        <f>VLOOKUP(E64,Sheet1!A:C,2,0)</f>
        <v>58.99</v>
      </c>
      <c r="R64" s="71">
        <f>VLOOKUP(E64,Sheet1!A:C,3,0)</f>
        <v>32.99</v>
      </c>
      <c r="S64" s="71">
        <f t="shared" si="7"/>
        <v>32.99</v>
      </c>
      <c r="T64" s="71">
        <f t="shared" si="6"/>
        <v>32.99</v>
      </c>
      <c r="U64" s="71">
        <f>VLOOKUP(E64,Sheet2!A:B,2,0)</f>
        <v>32.99</v>
      </c>
      <c r="V64" s="71">
        <f t="shared" si="8"/>
        <v>32.99</v>
      </c>
      <c r="W64" s="71">
        <v>5</v>
      </c>
      <c r="X64" s="71">
        <v>10</v>
      </c>
      <c r="Y64" s="71">
        <v>5</v>
      </c>
      <c r="Z64" s="70" t="s">
        <v>230</v>
      </c>
      <c r="AA64" s="61"/>
      <c r="AB64" s="61"/>
      <c r="AC64" s="61"/>
      <c r="AD64" s="61" t="s">
        <v>288</v>
      </c>
      <c r="AE64" s="61"/>
      <c r="AF64" s="61"/>
      <c r="AG64" s="61"/>
      <c r="AH64" s="61"/>
    </row>
    <row r="65" ht="28.5" spans="1:34">
      <c r="A65" s="61" t="s">
        <v>70</v>
      </c>
      <c r="B65" s="38" t="s">
        <v>95</v>
      </c>
      <c r="C65" s="69" t="s">
        <v>72</v>
      </c>
      <c r="D65" s="84" t="s">
        <v>289</v>
      </c>
      <c r="E65" s="1" t="s">
        <v>290</v>
      </c>
      <c r="F65" s="70" t="s">
        <v>180</v>
      </c>
      <c r="G65" s="61" t="s">
        <v>159</v>
      </c>
      <c r="H65" s="70" t="s">
        <v>118</v>
      </c>
      <c r="I65" s="70" t="s">
        <v>251</v>
      </c>
      <c r="J65" s="70" t="s">
        <v>252</v>
      </c>
      <c r="K65" s="70" t="s">
        <v>100</v>
      </c>
      <c r="L65" s="72" t="s">
        <v>113</v>
      </c>
      <c r="M65" s="73" t="s">
        <v>102</v>
      </c>
      <c r="N65" s="73" t="s">
        <v>113</v>
      </c>
      <c r="O65" s="61"/>
      <c r="P65" s="70" t="s">
        <v>100</v>
      </c>
      <c r="Q65" s="71">
        <f>VLOOKUP(E65,Sheet1!A:C,2,0)</f>
        <v>63.99</v>
      </c>
      <c r="R65" s="71">
        <f>VLOOKUP(E65,Sheet1!A:C,3,0)</f>
        <v>35.99</v>
      </c>
      <c r="S65" s="71">
        <f t="shared" si="7"/>
        <v>35.99</v>
      </c>
      <c r="T65" s="71">
        <f t="shared" si="6"/>
        <v>35.99</v>
      </c>
      <c r="U65" s="71">
        <f>VLOOKUP(E65,Sheet2!A:B,2,0)</f>
        <v>37.99</v>
      </c>
      <c r="V65" s="71">
        <f t="shared" si="8"/>
        <v>37.99</v>
      </c>
      <c r="W65" s="71">
        <v>5</v>
      </c>
      <c r="X65" s="71">
        <v>10</v>
      </c>
      <c r="Y65" s="71">
        <v>5</v>
      </c>
      <c r="Z65" s="70" t="s">
        <v>230</v>
      </c>
      <c r="AA65" s="61"/>
      <c r="AB65" s="61"/>
      <c r="AC65" s="61"/>
      <c r="AD65" s="61" t="s">
        <v>291</v>
      </c>
      <c r="AE65" s="61"/>
      <c r="AF65" s="61"/>
      <c r="AG65" s="61"/>
      <c r="AH65" s="61"/>
    </row>
    <row r="66" ht="28.5" spans="1:34">
      <c r="A66" s="61" t="s">
        <v>70</v>
      </c>
      <c r="B66" s="38" t="s">
        <v>95</v>
      </c>
      <c r="C66" s="69" t="s">
        <v>72</v>
      </c>
      <c r="D66" s="84" t="s">
        <v>292</v>
      </c>
      <c r="E66" s="1" t="s">
        <v>290</v>
      </c>
      <c r="F66" s="70" t="s">
        <v>116</v>
      </c>
      <c r="G66" s="61" t="s">
        <v>117</v>
      </c>
      <c r="H66" s="70" t="s">
        <v>118</v>
      </c>
      <c r="I66" s="70" t="s">
        <v>228</v>
      </c>
      <c r="J66" s="70" t="s">
        <v>252</v>
      </c>
      <c r="K66" s="70" t="s">
        <v>100</v>
      </c>
      <c r="L66" s="72" t="s">
        <v>113</v>
      </c>
      <c r="M66" s="73" t="s">
        <v>102</v>
      </c>
      <c r="N66" s="73" t="s">
        <v>113</v>
      </c>
      <c r="O66" s="61"/>
      <c r="P66" s="70" t="s">
        <v>100</v>
      </c>
      <c r="Q66" s="71">
        <f>VLOOKUP(E66,Sheet1!A:C,2,0)</f>
        <v>63.99</v>
      </c>
      <c r="R66" s="71">
        <f>VLOOKUP(E66,Sheet1!A:C,3,0)</f>
        <v>35.99</v>
      </c>
      <c r="S66" s="71">
        <f t="shared" si="7"/>
        <v>35.99</v>
      </c>
      <c r="T66" s="71">
        <f t="shared" si="6"/>
        <v>35.99</v>
      </c>
      <c r="U66" s="71">
        <f>VLOOKUP(E66,Sheet2!A:B,2,0)</f>
        <v>37.99</v>
      </c>
      <c r="V66" s="71">
        <f t="shared" si="8"/>
        <v>37.99</v>
      </c>
      <c r="W66" s="71">
        <v>5</v>
      </c>
      <c r="X66" s="71">
        <v>10</v>
      </c>
      <c r="Y66" s="71">
        <v>5</v>
      </c>
      <c r="Z66" s="70" t="s">
        <v>230</v>
      </c>
      <c r="AA66" s="61"/>
      <c r="AB66" s="61"/>
      <c r="AC66" s="61"/>
      <c r="AD66" s="61" t="s">
        <v>293</v>
      </c>
      <c r="AE66" s="61"/>
      <c r="AF66" s="61"/>
      <c r="AG66" s="61"/>
      <c r="AH66" s="61"/>
    </row>
    <row r="67" ht="28.5" spans="1:34">
      <c r="A67" s="61" t="s">
        <v>70</v>
      </c>
      <c r="B67" s="38" t="s">
        <v>95</v>
      </c>
      <c r="C67" s="69" t="s">
        <v>72</v>
      </c>
      <c r="D67" s="84" t="s">
        <v>294</v>
      </c>
      <c r="E67" s="1" t="s">
        <v>290</v>
      </c>
      <c r="F67" s="70" t="s">
        <v>116</v>
      </c>
      <c r="G67" s="61" t="s">
        <v>117</v>
      </c>
      <c r="H67" s="70" t="s">
        <v>118</v>
      </c>
      <c r="I67" s="70" t="s">
        <v>228</v>
      </c>
      <c r="J67" s="70" t="s">
        <v>252</v>
      </c>
      <c r="K67" s="70" t="s">
        <v>100</v>
      </c>
      <c r="L67" s="72" t="s">
        <v>113</v>
      </c>
      <c r="M67" s="73" t="s">
        <v>102</v>
      </c>
      <c r="N67" s="73" t="s">
        <v>113</v>
      </c>
      <c r="O67" s="61"/>
      <c r="P67" s="70" t="s">
        <v>100</v>
      </c>
      <c r="Q67" s="71">
        <f>VLOOKUP(E67,Sheet1!A:C,2,0)</f>
        <v>63.99</v>
      </c>
      <c r="R67" s="71">
        <f>VLOOKUP(E67,Sheet1!A:C,3,0)</f>
        <v>35.99</v>
      </c>
      <c r="S67" s="71">
        <f t="shared" si="7"/>
        <v>35.99</v>
      </c>
      <c r="T67" s="71">
        <f t="shared" si="6"/>
        <v>35.99</v>
      </c>
      <c r="U67" s="71">
        <f>VLOOKUP(E67,Sheet2!A:B,2,0)</f>
        <v>37.99</v>
      </c>
      <c r="V67" s="71">
        <f t="shared" si="8"/>
        <v>37.99</v>
      </c>
      <c r="W67" s="71">
        <v>5</v>
      </c>
      <c r="X67" s="71">
        <v>10</v>
      </c>
      <c r="Y67" s="71">
        <v>5</v>
      </c>
      <c r="Z67" s="70" t="s">
        <v>230</v>
      </c>
      <c r="AA67" s="61"/>
      <c r="AB67" s="61"/>
      <c r="AC67" s="61"/>
      <c r="AD67" s="61" t="s">
        <v>295</v>
      </c>
      <c r="AE67" s="61"/>
      <c r="AF67" s="61"/>
      <c r="AG67" s="61"/>
      <c r="AH67" s="61"/>
    </row>
    <row r="68" ht="28.5" spans="1:34">
      <c r="A68" s="61" t="s">
        <v>70</v>
      </c>
      <c r="B68" s="38" t="s">
        <v>95</v>
      </c>
      <c r="C68" s="69" t="s">
        <v>72</v>
      </c>
      <c r="D68" s="84" t="s">
        <v>296</v>
      </c>
      <c r="E68" s="39" t="s">
        <v>297</v>
      </c>
      <c r="F68" s="70" t="s">
        <v>180</v>
      </c>
      <c r="G68" s="61" t="s">
        <v>159</v>
      </c>
      <c r="H68" s="70" t="s">
        <v>118</v>
      </c>
      <c r="I68" s="70" t="s">
        <v>251</v>
      </c>
      <c r="J68" s="70" t="s">
        <v>252</v>
      </c>
      <c r="K68" s="70" t="s">
        <v>100</v>
      </c>
      <c r="L68" s="72" t="s">
        <v>113</v>
      </c>
      <c r="M68" s="73" t="s">
        <v>102</v>
      </c>
      <c r="N68" s="73" t="s">
        <v>113</v>
      </c>
      <c r="O68" s="61"/>
      <c r="P68" s="70" t="s">
        <v>100</v>
      </c>
      <c r="Q68" s="71">
        <f>VLOOKUP(E68,Sheet1!A:C,2,0)</f>
        <v>30.99</v>
      </c>
      <c r="R68" s="71">
        <f>VLOOKUP(E68,Sheet1!A:C,3,0)</f>
        <v>19.99</v>
      </c>
      <c r="S68" s="71">
        <f t="shared" si="7"/>
        <v>19.99</v>
      </c>
      <c r="T68" s="71">
        <f t="shared" si="6"/>
        <v>19.99</v>
      </c>
      <c r="U68" s="71">
        <f>VLOOKUP(E68,Sheet2!A:B,2,0)</f>
        <v>19.99</v>
      </c>
      <c r="V68" s="71">
        <f t="shared" si="8"/>
        <v>19.99</v>
      </c>
      <c r="W68" s="71">
        <v>5</v>
      </c>
      <c r="X68" s="71">
        <v>10</v>
      </c>
      <c r="Y68" s="71">
        <v>5</v>
      </c>
      <c r="Z68" s="70" t="s">
        <v>230</v>
      </c>
      <c r="AA68" s="61"/>
      <c r="AB68" s="61"/>
      <c r="AC68" s="61"/>
      <c r="AD68" s="61" t="s">
        <v>298</v>
      </c>
      <c r="AE68" s="61"/>
      <c r="AF68" s="61"/>
      <c r="AG68" s="61"/>
      <c r="AH68" s="61"/>
    </row>
    <row r="69" ht="28.5" spans="1:34">
      <c r="A69" s="61" t="s">
        <v>70</v>
      </c>
      <c r="B69" s="38" t="s">
        <v>95</v>
      </c>
      <c r="C69" s="69" t="s">
        <v>72</v>
      </c>
      <c r="D69" s="84" t="s">
        <v>299</v>
      </c>
      <c r="E69" s="39" t="s">
        <v>297</v>
      </c>
      <c r="F69" s="70" t="s">
        <v>116</v>
      </c>
      <c r="G69" s="61" t="s">
        <v>117</v>
      </c>
      <c r="H69" s="70" t="s">
        <v>118</v>
      </c>
      <c r="I69" s="70" t="s">
        <v>228</v>
      </c>
      <c r="J69" s="70" t="s">
        <v>252</v>
      </c>
      <c r="K69" s="70" t="s">
        <v>100</v>
      </c>
      <c r="L69" s="72" t="s">
        <v>113</v>
      </c>
      <c r="M69" s="73" t="s">
        <v>102</v>
      </c>
      <c r="N69" s="73" t="s">
        <v>113</v>
      </c>
      <c r="O69" s="61"/>
      <c r="P69" s="70" t="s">
        <v>100</v>
      </c>
      <c r="Q69" s="71">
        <f>VLOOKUP(E69,Sheet1!A:C,2,0)</f>
        <v>30.99</v>
      </c>
      <c r="R69" s="71">
        <f>VLOOKUP(E69,Sheet1!A:C,3,0)</f>
        <v>19.99</v>
      </c>
      <c r="S69" s="71">
        <f t="shared" si="7"/>
        <v>19.99</v>
      </c>
      <c r="T69" s="71">
        <f t="shared" si="6"/>
        <v>19.99</v>
      </c>
      <c r="U69" s="71">
        <f>VLOOKUP(E69,Sheet2!A:B,2,0)</f>
        <v>19.99</v>
      </c>
      <c r="V69" s="71">
        <f t="shared" si="8"/>
        <v>19.99</v>
      </c>
      <c r="W69" s="71">
        <v>5</v>
      </c>
      <c r="X69" s="71">
        <v>10</v>
      </c>
      <c r="Y69" s="71">
        <v>5</v>
      </c>
      <c r="Z69" s="70" t="s">
        <v>230</v>
      </c>
      <c r="AA69" s="61"/>
      <c r="AB69" s="61"/>
      <c r="AC69" s="61"/>
      <c r="AD69" s="61" t="s">
        <v>300</v>
      </c>
      <c r="AE69" s="61"/>
      <c r="AF69" s="61"/>
      <c r="AG69" s="61"/>
      <c r="AH69" s="61"/>
    </row>
    <row r="70" ht="28.5" spans="1:34">
      <c r="A70" s="61" t="s">
        <v>70</v>
      </c>
      <c r="B70" s="38" t="s">
        <v>95</v>
      </c>
      <c r="C70" s="69" t="s">
        <v>72</v>
      </c>
      <c r="D70" s="84" t="s">
        <v>301</v>
      </c>
      <c r="E70" s="39" t="s">
        <v>297</v>
      </c>
      <c r="F70" s="70" t="s">
        <v>116</v>
      </c>
      <c r="G70" s="61" t="s">
        <v>117</v>
      </c>
      <c r="H70" s="70" t="s">
        <v>118</v>
      </c>
      <c r="I70" s="70" t="s">
        <v>228</v>
      </c>
      <c r="J70" s="70" t="s">
        <v>252</v>
      </c>
      <c r="K70" s="70" t="s">
        <v>100</v>
      </c>
      <c r="L70" s="72" t="s">
        <v>113</v>
      </c>
      <c r="M70" s="73" t="s">
        <v>102</v>
      </c>
      <c r="N70" s="73" t="s">
        <v>113</v>
      </c>
      <c r="O70" s="61"/>
      <c r="P70" s="70" t="s">
        <v>100</v>
      </c>
      <c r="Q70" s="71">
        <f>VLOOKUP(E70,Sheet1!A:C,2,0)</f>
        <v>30.99</v>
      </c>
      <c r="R70" s="71">
        <f>VLOOKUP(E70,Sheet1!A:C,3,0)</f>
        <v>19.99</v>
      </c>
      <c r="S70" s="71">
        <f t="shared" si="7"/>
        <v>19.99</v>
      </c>
      <c r="T70" s="71">
        <f t="shared" si="6"/>
        <v>19.99</v>
      </c>
      <c r="U70" s="71">
        <f>VLOOKUP(E70,Sheet2!A:B,2,0)</f>
        <v>19.99</v>
      </c>
      <c r="V70" s="71">
        <f t="shared" si="8"/>
        <v>19.99</v>
      </c>
      <c r="W70" s="71">
        <v>5</v>
      </c>
      <c r="X70" s="71">
        <v>10</v>
      </c>
      <c r="Y70" s="71">
        <v>5</v>
      </c>
      <c r="Z70" s="70" t="s">
        <v>230</v>
      </c>
      <c r="AA70" s="61"/>
      <c r="AB70" s="61"/>
      <c r="AC70" s="61"/>
      <c r="AD70" s="61" t="s">
        <v>302</v>
      </c>
      <c r="AE70" s="61"/>
      <c r="AF70" s="61"/>
      <c r="AG70" s="61"/>
      <c r="AH70" s="61"/>
    </row>
    <row r="71" ht="28.5" spans="1:34">
      <c r="A71" s="61" t="s">
        <v>70</v>
      </c>
      <c r="B71" s="38" t="s">
        <v>95</v>
      </c>
      <c r="C71" s="69" t="s">
        <v>72</v>
      </c>
      <c r="D71" s="84" t="s">
        <v>303</v>
      </c>
      <c r="E71" s="32" t="s">
        <v>304</v>
      </c>
      <c r="F71" s="70" t="s">
        <v>180</v>
      </c>
      <c r="G71" s="61" t="s">
        <v>159</v>
      </c>
      <c r="H71" s="70" t="s">
        <v>118</v>
      </c>
      <c r="I71" s="70" t="s">
        <v>251</v>
      </c>
      <c r="J71" s="70" t="s">
        <v>252</v>
      </c>
      <c r="K71" s="70" t="s">
        <v>100</v>
      </c>
      <c r="L71" s="72" t="s">
        <v>113</v>
      </c>
      <c r="M71" s="73" t="s">
        <v>102</v>
      </c>
      <c r="N71" s="73" t="s">
        <v>113</v>
      </c>
      <c r="O71" s="61"/>
      <c r="P71" s="70" t="s">
        <v>100</v>
      </c>
      <c r="Q71" s="71">
        <f>VLOOKUP(E71,Sheet1!A:C,2,0)</f>
        <v>75</v>
      </c>
      <c r="R71" s="71">
        <f>VLOOKUP(E71,Sheet1!A:C,3,0)</f>
        <v>45.99</v>
      </c>
      <c r="S71" s="71">
        <f t="shared" si="7"/>
        <v>45.99</v>
      </c>
      <c r="T71" s="71">
        <f t="shared" ref="T71:T102" si="9">S71</f>
        <v>45.99</v>
      </c>
      <c r="U71" s="71">
        <f>VLOOKUP(E71,Sheet2!A:B,2,0)</f>
        <v>39.99</v>
      </c>
      <c r="V71" s="71">
        <f t="shared" si="8"/>
        <v>39.99</v>
      </c>
      <c r="W71" s="71">
        <v>5</v>
      </c>
      <c r="X71" s="71">
        <v>10</v>
      </c>
      <c r="Y71" s="71">
        <v>5</v>
      </c>
      <c r="Z71" s="70" t="s">
        <v>230</v>
      </c>
      <c r="AA71" s="61"/>
      <c r="AB71" s="61"/>
      <c r="AC71" s="61"/>
      <c r="AD71" s="61" t="s">
        <v>305</v>
      </c>
      <c r="AE71" s="61"/>
      <c r="AF71" s="61"/>
      <c r="AG71" s="61"/>
      <c r="AH71" s="61"/>
    </row>
    <row r="72" ht="28.5" spans="1:34">
      <c r="A72" s="61" t="s">
        <v>70</v>
      </c>
      <c r="B72" s="38" t="s">
        <v>95</v>
      </c>
      <c r="C72" s="69" t="s">
        <v>72</v>
      </c>
      <c r="D72" s="84" t="s">
        <v>306</v>
      </c>
      <c r="E72" s="32" t="s">
        <v>304</v>
      </c>
      <c r="F72" s="70" t="s">
        <v>116</v>
      </c>
      <c r="G72" s="61" t="s">
        <v>117</v>
      </c>
      <c r="H72" s="70" t="s">
        <v>118</v>
      </c>
      <c r="I72" s="70" t="s">
        <v>228</v>
      </c>
      <c r="J72" s="70" t="s">
        <v>252</v>
      </c>
      <c r="K72" s="70" t="s">
        <v>100</v>
      </c>
      <c r="L72" s="72" t="s">
        <v>113</v>
      </c>
      <c r="M72" s="73" t="s">
        <v>102</v>
      </c>
      <c r="N72" s="73" t="s">
        <v>113</v>
      </c>
      <c r="O72" s="61"/>
      <c r="P72" s="70" t="s">
        <v>100</v>
      </c>
      <c r="Q72" s="71">
        <f>VLOOKUP(E72,Sheet1!A:C,2,0)</f>
        <v>75</v>
      </c>
      <c r="R72" s="71">
        <f>VLOOKUP(E72,Sheet1!A:C,3,0)</f>
        <v>45.99</v>
      </c>
      <c r="S72" s="71">
        <f t="shared" si="7"/>
        <v>45.99</v>
      </c>
      <c r="T72" s="71">
        <f t="shared" si="9"/>
        <v>45.99</v>
      </c>
      <c r="U72" s="71">
        <f>VLOOKUP(E72,Sheet2!A:B,2,0)</f>
        <v>39.99</v>
      </c>
      <c r="V72" s="71">
        <f t="shared" si="8"/>
        <v>39.99</v>
      </c>
      <c r="W72" s="71">
        <v>5</v>
      </c>
      <c r="X72" s="71">
        <v>10</v>
      </c>
      <c r="Y72" s="71">
        <v>5</v>
      </c>
      <c r="Z72" s="70" t="s">
        <v>230</v>
      </c>
      <c r="AA72" s="61"/>
      <c r="AB72" s="61"/>
      <c r="AC72" s="61"/>
      <c r="AD72" s="61" t="s">
        <v>307</v>
      </c>
      <c r="AE72" s="61"/>
      <c r="AF72" s="61"/>
      <c r="AG72" s="61"/>
      <c r="AH72" s="61"/>
    </row>
    <row r="73" ht="28.5" spans="1:34">
      <c r="A73" s="61" t="s">
        <v>70</v>
      </c>
      <c r="B73" s="38" t="s">
        <v>95</v>
      </c>
      <c r="C73" s="69" t="s">
        <v>72</v>
      </c>
      <c r="D73" s="84" t="s">
        <v>308</v>
      </c>
      <c r="E73" s="39" t="s">
        <v>309</v>
      </c>
      <c r="F73" s="70" t="s">
        <v>180</v>
      </c>
      <c r="G73" s="61" t="s">
        <v>159</v>
      </c>
      <c r="H73" s="70" t="s">
        <v>118</v>
      </c>
      <c r="I73" s="70" t="s">
        <v>251</v>
      </c>
      <c r="J73" s="70" t="s">
        <v>252</v>
      </c>
      <c r="K73" s="70" t="s">
        <v>100</v>
      </c>
      <c r="L73" s="72" t="s">
        <v>113</v>
      </c>
      <c r="M73" s="73" t="s">
        <v>102</v>
      </c>
      <c r="N73" s="73" t="s">
        <v>113</v>
      </c>
      <c r="O73" s="61"/>
      <c r="P73" s="70" t="s">
        <v>100</v>
      </c>
      <c r="Q73" s="71">
        <f>VLOOKUP(E73,Sheet1!A:C,2,0)</f>
        <v>29.99</v>
      </c>
      <c r="R73" s="71">
        <f>VLOOKUP(E73,Sheet1!A:C,3,0)</f>
        <v>16.99</v>
      </c>
      <c r="S73" s="71">
        <f t="shared" si="7"/>
        <v>16.99</v>
      </c>
      <c r="T73" s="71">
        <f t="shared" si="9"/>
        <v>16.99</v>
      </c>
      <c r="U73" s="71">
        <f>VLOOKUP(E73,Sheet2!A:B,2,0)</f>
        <v>14.99</v>
      </c>
      <c r="V73" s="71">
        <f t="shared" si="8"/>
        <v>14.99</v>
      </c>
      <c r="W73" s="71">
        <v>5</v>
      </c>
      <c r="X73" s="71">
        <v>10</v>
      </c>
      <c r="Y73" s="71">
        <v>5</v>
      </c>
      <c r="Z73" s="70" t="s">
        <v>230</v>
      </c>
      <c r="AA73" s="61"/>
      <c r="AB73" s="61"/>
      <c r="AC73" s="61"/>
      <c r="AD73" s="61" t="s">
        <v>310</v>
      </c>
      <c r="AE73" s="61"/>
      <c r="AF73" s="61"/>
      <c r="AG73" s="61"/>
      <c r="AH73" s="61"/>
    </row>
    <row r="74" ht="28.5" spans="1:34">
      <c r="A74" s="61" t="s">
        <v>70</v>
      </c>
      <c r="B74" s="38" t="s">
        <v>95</v>
      </c>
      <c r="C74" s="69" t="s">
        <v>72</v>
      </c>
      <c r="D74" s="84" t="s">
        <v>311</v>
      </c>
      <c r="E74" s="39" t="s">
        <v>309</v>
      </c>
      <c r="F74" s="70" t="s">
        <v>116</v>
      </c>
      <c r="G74" s="61" t="s">
        <v>117</v>
      </c>
      <c r="H74" s="70" t="s">
        <v>118</v>
      </c>
      <c r="I74" s="70" t="s">
        <v>228</v>
      </c>
      <c r="J74" s="70" t="s">
        <v>252</v>
      </c>
      <c r="K74" s="70" t="s">
        <v>100</v>
      </c>
      <c r="L74" s="72" t="s">
        <v>113</v>
      </c>
      <c r="M74" s="73" t="s">
        <v>102</v>
      </c>
      <c r="N74" s="73" t="s">
        <v>113</v>
      </c>
      <c r="O74" s="61"/>
      <c r="P74" s="70" t="s">
        <v>100</v>
      </c>
      <c r="Q74" s="71">
        <f>VLOOKUP(E74,Sheet1!A:C,2,0)</f>
        <v>29.99</v>
      </c>
      <c r="R74" s="71">
        <f>VLOOKUP(E74,Sheet1!A:C,3,0)</f>
        <v>16.99</v>
      </c>
      <c r="S74" s="71">
        <f t="shared" si="7"/>
        <v>16.99</v>
      </c>
      <c r="T74" s="71">
        <f t="shared" si="9"/>
        <v>16.99</v>
      </c>
      <c r="U74" s="71">
        <f>VLOOKUP(E74,Sheet2!A:B,2,0)</f>
        <v>14.99</v>
      </c>
      <c r="V74" s="71">
        <f t="shared" si="8"/>
        <v>14.99</v>
      </c>
      <c r="W74" s="71">
        <v>5</v>
      </c>
      <c r="X74" s="71">
        <v>10</v>
      </c>
      <c r="Y74" s="71">
        <v>5</v>
      </c>
      <c r="Z74" s="70" t="s">
        <v>230</v>
      </c>
      <c r="AA74" s="61"/>
      <c r="AB74" s="61"/>
      <c r="AC74" s="61"/>
      <c r="AD74" s="61" t="s">
        <v>312</v>
      </c>
      <c r="AE74" s="61"/>
      <c r="AF74" s="61"/>
      <c r="AG74" s="61"/>
      <c r="AH74" s="61"/>
    </row>
    <row r="75" ht="28.5" spans="1:34">
      <c r="A75" s="61" t="s">
        <v>70</v>
      </c>
      <c r="B75" s="38" t="s">
        <v>95</v>
      </c>
      <c r="C75" s="69" t="s">
        <v>72</v>
      </c>
      <c r="D75" s="84" t="s">
        <v>313</v>
      </c>
      <c r="E75" s="39" t="s">
        <v>309</v>
      </c>
      <c r="F75" s="70" t="s">
        <v>116</v>
      </c>
      <c r="G75" s="61" t="s">
        <v>117</v>
      </c>
      <c r="H75" s="70" t="s">
        <v>118</v>
      </c>
      <c r="I75" s="70" t="s">
        <v>228</v>
      </c>
      <c r="J75" s="70" t="s">
        <v>252</v>
      </c>
      <c r="K75" s="70" t="s">
        <v>100</v>
      </c>
      <c r="L75" s="72" t="s">
        <v>113</v>
      </c>
      <c r="M75" s="73" t="s">
        <v>102</v>
      </c>
      <c r="N75" s="73" t="s">
        <v>113</v>
      </c>
      <c r="O75" s="61"/>
      <c r="P75" s="70" t="s">
        <v>100</v>
      </c>
      <c r="Q75" s="71">
        <f>VLOOKUP(E75,Sheet1!A:C,2,0)</f>
        <v>29.99</v>
      </c>
      <c r="R75" s="71">
        <f>VLOOKUP(E75,Sheet1!A:C,3,0)</f>
        <v>16.99</v>
      </c>
      <c r="S75" s="71">
        <f t="shared" si="7"/>
        <v>16.99</v>
      </c>
      <c r="T75" s="71">
        <f t="shared" si="9"/>
        <v>16.99</v>
      </c>
      <c r="U75" s="71">
        <f>VLOOKUP(E75,Sheet2!A:B,2,0)</f>
        <v>14.99</v>
      </c>
      <c r="V75" s="71">
        <f t="shared" si="8"/>
        <v>14.99</v>
      </c>
      <c r="W75" s="71">
        <v>5</v>
      </c>
      <c r="X75" s="71">
        <v>10</v>
      </c>
      <c r="Y75" s="71">
        <v>5</v>
      </c>
      <c r="Z75" s="70" t="s">
        <v>230</v>
      </c>
      <c r="AA75" s="61"/>
      <c r="AB75" s="61"/>
      <c r="AC75" s="61"/>
      <c r="AD75" s="61" t="s">
        <v>314</v>
      </c>
      <c r="AE75" s="61"/>
      <c r="AF75" s="61"/>
      <c r="AG75" s="61"/>
      <c r="AH75" s="61"/>
    </row>
    <row r="76" ht="28.5" spans="1:34">
      <c r="A76" s="61" t="s">
        <v>70</v>
      </c>
      <c r="B76" s="38" t="s">
        <v>95</v>
      </c>
      <c r="C76" s="69" t="s">
        <v>72</v>
      </c>
      <c r="D76" s="84" t="s">
        <v>315</v>
      </c>
      <c r="E76" s="39" t="s">
        <v>316</v>
      </c>
      <c r="F76" s="70" t="s">
        <v>180</v>
      </c>
      <c r="G76" s="61" t="s">
        <v>159</v>
      </c>
      <c r="H76" s="70" t="s">
        <v>118</v>
      </c>
      <c r="I76" s="70" t="s">
        <v>251</v>
      </c>
      <c r="J76" s="70" t="s">
        <v>252</v>
      </c>
      <c r="K76" s="70" t="s">
        <v>100</v>
      </c>
      <c r="L76" s="72" t="s">
        <v>113</v>
      </c>
      <c r="M76" s="73" t="s">
        <v>102</v>
      </c>
      <c r="N76" s="73" t="s">
        <v>113</v>
      </c>
      <c r="O76" s="61"/>
      <c r="P76" s="70" t="s">
        <v>100</v>
      </c>
      <c r="Q76" s="71">
        <f>VLOOKUP(E76,Sheet1!A:C,2,0)</f>
        <v>54.99</v>
      </c>
      <c r="R76" s="71">
        <f>VLOOKUP(E76,Sheet1!A:C,3,0)</f>
        <v>32.99</v>
      </c>
      <c r="S76" s="71">
        <f t="shared" si="7"/>
        <v>32.99</v>
      </c>
      <c r="T76" s="71">
        <f t="shared" si="9"/>
        <v>32.99</v>
      </c>
      <c r="U76" s="71">
        <f>VLOOKUP(E76,Sheet2!A:B,2,0)</f>
        <v>32.99</v>
      </c>
      <c r="V76" s="71">
        <f t="shared" si="8"/>
        <v>32.99</v>
      </c>
      <c r="W76" s="71">
        <v>5</v>
      </c>
      <c r="X76" s="71">
        <v>10</v>
      </c>
      <c r="Y76" s="71">
        <v>5</v>
      </c>
      <c r="Z76" s="70" t="s">
        <v>230</v>
      </c>
      <c r="AA76" s="61"/>
      <c r="AB76" s="61"/>
      <c r="AC76" s="61"/>
      <c r="AD76" s="61" t="s">
        <v>317</v>
      </c>
      <c r="AE76" s="61"/>
      <c r="AF76" s="61"/>
      <c r="AG76" s="61"/>
      <c r="AH76" s="61"/>
    </row>
    <row r="77" ht="28.5" spans="1:34">
      <c r="A77" s="61" t="s">
        <v>70</v>
      </c>
      <c r="B77" s="38" t="s">
        <v>95</v>
      </c>
      <c r="C77" s="69" t="s">
        <v>72</v>
      </c>
      <c r="D77" s="84" t="s">
        <v>318</v>
      </c>
      <c r="E77" s="39" t="s">
        <v>316</v>
      </c>
      <c r="F77" s="70" t="s">
        <v>116</v>
      </c>
      <c r="G77" s="61" t="s">
        <v>117</v>
      </c>
      <c r="H77" s="70" t="s">
        <v>118</v>
      </c>
      <c r="I77" s="70" t="s">
        <v>228</v>
      </c>
      <c r="J77" s="70" t="s">
        <v>252</v>
      </c>
      <c r="K77" s="70" t="s">
        <v>100</v>
      </c>
      <c r="L77" s="72" t="s">
        <v>113</v>
      </c>
      <c r="M77" s="73" t="s">
        <v>102</v>
      </c>
      <c r="N77" s="73" t="s">
        <v>113</v>
      </c>
      <c r="O77" s="61"/>
      <c r="P77" s="70" t="s">
        <v>100</v>
      </c>
      <c r="Q77" s="71">
        <f>VLOOKUP(E77,Sheet1!A:C,2,0)</f>
        <v>54.99</v>
      </c>
      <c r="R77" s="71">
        <f>VLOOKUP(E77,Sheet1!A:C,3,0)</f>
        <v>32.99</v>
      </c>
      <c r="S77" s="71">
        <f t="shared" si="7"/>
        <v>32.99</v>
      </c>
      <c r="T77" s="71">
        <f t="shared" si="9"/>
        <v>32.99</v>
      </c>
      <c r="U77" s="71">
        <f>VLOOKUP(E77,Sheet2!A:B,2,0)</f>
        <v>32.99</v>
      </c>
      <c r="V77" s="71">
        <f t="shared" si="8"/>
        <v>32.99</v>
      </c>
      <c r="W77" s="71">
        <v>5</v>
      </c>
      <c r="X77" s="71">
        <v>10</v>
      </c>
      <c r="Y77" s="71">
        <v>5</v>
      </c>
      <c r="Z77" s="70" t="s">
        <v>230</v>
      </c>
      <c r="AA77" s="61"/>
      <c r="AB77" s="61"/>
      <c r="AC77" s="61"/>
      <c r="AD77" s="61" t="s">
        <v>319</v>
      </c>
      <c r="AE77" s="61"/>
      <c r="AF77" s="61"/>
      <c r="AG77" s="61"/>
      <c r="AH77" s="61"/>
    </row>
    <row r="78" ht="28.5" spans="1:34">
      <c r="A78" s="61" t="s">
        <v>70</v>
      </c>
      <c r="B78" s="38" t="s">
        <v>95</v>
      </c>
      <c r="C78" s="69" t="s">
        <v>72</v>
      </c>
      <c r="D78" s="84" t="s">
        <v>320</v>
      </c>
      <c r="E78" s="39" t="s">
        <v>321</v>
      </c>
      <c r="F78" s="61" t="s">
        <v>75</v>
      </c>
      <c r="G78" s="61" t="s">
        <v>76</v>
      </c>
      <c r="H78" s="61" t="s">
        <v>77</v>
      </c>
      <c r="I78" s="70" t="s">
        <v>235</v>
      </c>
      <c r="J78" s="70" t="s">
        <v>252</v>
      </c>
      <c r="K78" s="70" t="s">
        <v>100</v>
      </c>
      <c r="L78" s="72" t="s">
        <v>113</v>
      </c>
      <c r="M78" s="73" t="s">
        <v>102</v>
      </c>
      <c r="N78" s="78" t="s">
        <v>322</v>
      </c>
      <c r="O78" s="61"/>
      <c r="P78" s="70" t="s">
        <v>100</v>
      </c>
      <c r="Q78" s="71">
        <f>VLOOKUP(E78,Sheet1!A:C,2,0)</f>
        <v>26.99</v>
      </c>
      <c r="R78" s="71">
        <f>VLOOKUP(E78,Sheet1!A:C,3,0)</f>
        <v>16.99</v>
      </c>
      <c r="S78" s="71">
        <f t="shared" si="7"/>
        <v>16.99</v>
      </c>
      <c r="T78" s="71">
        <f t="shared" si="9"/>
        <v>16.99</v>
      </c>
      <c r="U78" s="71">
        <f>VLOOKUP(E78,Sheet2!A:B,2,0)</f>
        <v>14.99</v>
      </c>
      <c r="V78" s="71">
        <f t="shared" si="8"/>
        <v>14.99</v>
      </c>
      <c r="W78" s="71">
        <v>5</v>
      </c>
      <c r="X78" s="71">
        <v>10</v>
      </c>
      <c r="Y78" s="71">
        <v>5</v>
      </c>
      <c r="Z78" s="70" t="s">
        <v>230</v>
      </c>
      <c r="AA78" s="61"/>
      <c r="AB78" s="61"/>
      <c r="AC78" s="61"/>
      <c r="AD78" s="61" t="s">
        <v>323</v>
      </c>
      <c r="AE78" s="61"/>
      <c r="AF78" s="61"/>
      <c r="AG78" s="61"/>
      <c r="AH78" s="61"/>
    </row>
    <row r="79" ht="28.5" spans="1:34">
      <c r="A79" s="61" t="s">
        <v>70</v>
      </c>
      <c r="B79" s="38" t="s">
        <v>95</v>
      </c>
      <c r="C79" s="69" t="s">
        <v>72</v>
      </c>
      <c r="D79" s="84" t="s">
        <v>324</v>
      </c>
      <c r="E79" s="39" t="s">
        <v>321</v>
      </c>
      <c r="F79" s="70" t="s">
        <v>116</v>
      </c>
      <c r="G79" s="61" t="s">
        <v>117</v>
      </c>
      <c r="H79" s="70" t="s">
        <v>118</v>
      </c>
      <c r="I79" s="70" t="s">
        <v>228</v>
      </c>
      <c r="J79" s="70" t="s">
        <v>252</v>
      </c>
      <c r="K79" s="70" t="s">
        <v>100</v>
      </c>
      <c r="L79" s="72" t="s">
        <v>113</v>
      </c>
      <c r="M79" s="73" t="s">
        <v>102</v>
      </c>
      <c r="N79" s="73" t="s">
        <v>113</v>
      </c>
      <c r="O79" s="61"/>
      <c r="P79" s="70" t="s">
        <v>100</v>
      </c>
      <c r="Q79" s="71">
        <f>VLOOKUP(E79,Sheet1!A:C,2,0)</f>
        <v>26.99</v>
      </c>
      <c r="R79" s="71">
        <f>VLOOKUP(E79,Sheet1!A:C,3,0)</f>
        <v>16.99</v>
      </c>
      <c r="S79" s="71">
        <f t="shared" si="7"/>
        <v>16.99</v>
      </c>
      <c r="T79" s="71">
        <f t="shared" si="9"/>
        <v>16.99</v>
      </c>
      <c r="U79" s="71">
        <f>VLOOKUP(E79,Sheet2!A:B,2,0)</f>
        <v>14.99</v>
      </c>
      <c r="V79" s="71">
        <f t="shared" si="8"/>
        <v>14.99</v>
      </c>
      <c r="W79" s="71">
        <v>5</v>
      </c>
      <c r="X79" s="71">
        <v>10</v>
      </c>
      <c r="Y79" s="71">
        <v>5</v>
      </c>
      <c r="Z79" s="70" t="s">
        <v>230</v>
      </c>
      <c r="AA79" s="61"/>
      <c r="AB79" s="61"/>
      <c r="AC79" s="61"/>
      <c r="AD79" s="61" t="s">
        <v>325</v>
      </c>
      <c r="AE79" s="61"/>
      <c r="AF79" s="61"/>
      <c r="AG79" s="61"/>
      <c r="AH79" s="61"/>
    </row>
    <row r="80" ht="28.5" spans="1:34">
      <c r="A80" s="61" t="s">
        <v>70</v>
      </c>
      <c r="B80" s="38" t="s">
        <v>95</v>
      </c>
      <c r="C80" s="69" t="s">
        <v>72</v>
      </c>
      <c r="D80" s="84" t="s">
        <v>326</v>
      </c>
      <c r="E80" s="39" t="s">
        <v>327</v>
      </c>
      <c r="F80" s="61" t="s">
        <v>75</v>
      </c>
      <c r="G80" s="61" t="s">
        <v>109</v>
      </c>
      <c r="H80" s="70" t="s">
        <v>110</v>
      </c>
      <c r="I80" s="70" t="s">
        <v>239</v>
      </c>
      <c r="J80" s="70" t="s">
        <v>252</v>
      </c>
      <c r="K80" s="70" t="s">
        <v>100</v>
      </c>
      <c r="L80" s="72" t="s">
        <v>113</v>
      </c>
      <c r="M80" s="73" t="s">
        <v>102</v>
      </c>
      <c r="N80" s="73" t="s">
        <v>113</v>
      </c>
      <c r="O80" s="61"/>
      <c r="P80" s="70" t="s">
        <v>100</v>
      </c>
      <c r="Q80" s="71">
        <f>VLOOKUP(E80,Sheet1!A:C,2,0)</f>
        <v>24.99</v>
      </c>
      <c r="R80" s="71">
        <f>VLOOKUP(E80,Sheet1!A:C,3,0)</f>
        <v>16.99</v>
      </c>
      <c r="S80" s="71">
        <f t="shared" si="7"/>
        <v>16.99</v>
      </c>
      <c r="T80" s="71">
        <f t="shared" si="9"/>
        <v>16.99</v>
      </c>
      <c r="U80" s="71">
        <f>VLOOKUP(E80,Sheet2!A:B,2,0)</f>
        <v>14.99</v>
      </c>
      <c r="V80" s="71">
        <f t="shared" si="8"/>
        <v>14.99</v>
      </c>
      <c r="W80" s="71">
        <v>5</v>
      </c>
      <c r="X80" s="71">
        <v>10</v>
      </c>
      <c r="Y80" s="71">
        <v>5</v>
      </c>
      <c r="Z80" s="70" t="s">
        <v>230</v>
      </c>
      <c r="AA80" s="61"/>
      <c r="AB80" s="61"/>
      <c r="AC80" s="61"/>
      <c r="AD80" s="61" t="s">
        <v>328</v>
      </c>
      <c r="AE80" s="61"/>
      <c r="AF80" s="61"/>
      <c r="AG80" s="61"/>
      <c r="AH80" s="61"/>
    </row>
    <row r="81" ht="28.5" spans="1:34">
      <c r="A81" s="61" t="s">
        <v>70</v>
      </c>
      <c r="B81" s="38" t="s">
        <v>95</v>
      </c>
      <c r="C81" s="69" t="s">
        <v>72</v>
      </c>
      <c r="D81" s="84" t="s">
        <v>329</v>
      </c>
      <c r="E81" s="39" t="s">
        <v>327</v>
      </c>
      <c r="F81" s="70" t="s">
        <v>116</v>
      </c>
      <c r="G81" s="61" t="s">
        <v>117</v>
      </c>
      <c r="H81" s="70" t="s">
        <v>118</v>
      </c>
      <c r="I81" s="70" t="s">
        <v>228</v>
      </c>
      <c r="J81" s="70" t="s">
        <v>252</v>
      </c>
      <c r="K81" s="70" t="s">
        <v>100</v>
      </c>
      <c r="L81" s="72" t="s">
        <v>113</v>
      </c>
      <c r="M81" s="73" t="s">
        <v>102</v>
      </c>
      <c r="N81" s="73" t="s">
        <v>113</v>
      </c>
      <c r="O81" s="61"/>
      <c r="P81" s="70" t="s">
        <v>100</v>
      </c>
      <c r="Q81" s="71">
        <f>VLOOKUP(E81,Sheet1!A:C,2,0)</f>
        <v>24.99</v>
      </c>
      <c r="R81" s="71">
        <f>VLOOKUP(E81,Sheet1!A:C,3,0)</f>
        <v>16.99</v>
      </c>
      <c r="S81" s="71">
        <f t="shared" si="7"/>
        <v>16.99</v>
      </c>
      <c r="T81" s="71">
        <f t="shared" si="9"/>
        <v>16.99</v>
      </c>
      <c r="U81" s="71">
        <f>VLOOKUP(E81,Sheet2!A:B,2,0)</f>
        <v>14.99</v>
      </c>
      <c r="V81" s="71">
        <f t="shared" si="8"/>
        <v>14.99</v>
      </c>
      <c r="W81" s="71">
        <v>5</v>
      </c>
      <c r="X81" s="71">
        <v>10</v>
      </c>
      <c r="Y81" s="71">
        <v>5</v>
      </c>
      <c r="Z81" s="70" t="s">
        <v>230</v>
      </c>
      <c r="AA81" s="61"/>
      <c r="AB81" s="61"/>
      <c r="AC81" s="61"/>
      <c r="AD81" s="61" t="s">
        <v>330</v>
      </c>
      <c r="AE81" s="61"/>
      <c r="AF81" s="61"/>
      <c r="AG81" s="61"/>
      <c r="AH81" s="61"/>
    </row>
    <row r="82" ht="28.5" spans="1:34">
      <c r="A82" s="61" t="s">
        <v>70</v>
      </c>
      <c r="B82" s="38" t="s">
        <v>95</v>
      </c>
      <c r="C82" s="69" t="s">
        <v>72</v>
      </c>
      <c r="D82" s="84" t="s">
        <v>331</v>
      </c>
      <c r="E82" s="39" t="s">
        <v>327</v>
      </c>
      <c r="F82" s="70" t="s">
        <v>116</v>
      </c>
      <c r="G82" s="61" t="s">
        <v>117</v>
      </c>
      <c r="H82" s="70" t="s">
        <v>118</v>
      </c>
      <c r="I82" s="70" t="s">
        <v>228</v>
      </c>
      <c r="J82" s="70" t="s">
        <v>252</v>
      </c>
      <c r="K82" s="70" t="s">
        <v>100</v>
      </c>
      <c r="L82" s="72" t="s">
        <v>113</v>
      </c>
      <c r="M82" s="73" t="s">
        <v>102</v>
      </c>
      <c r="N82" s="73" t="s">
        <v>113</v>
      </c>
      <c r="O82" s="61"/>
      <c r="P82" s="70" t="s">
        <v>100</v>
      </c>
      <c r="Q82" s="71">
        <f>VLOOKUP(E82,Sheet1!A:C,2,0)</f>
        <v>24.99</v>
      </c>
      <c r="R82" s="71">
        <f>VLOOKUP(E82,Sheet1!A:C,3,0)</f>
        <v>16.99</v>
      </c>
      <c r="S82" s="71">
        <f t="shared" si="7"/>
        <v>16.99</v>
      </c>
      <c r="T82" s="71">
        <f t="shared" si="9"/>
        <v>16.99</v>
      </c>
      <c r="U82" s="71">
        <f>VLOOKUP(E82,Sheet2!A:B,2,0)</f>
        <v>14.99</v>
      </c>
      <c r="V82" s="71">
        <f t="shared" si="8"/>
        <v>14.99</v>
      </c>
      <c r="W82" s="71">
        <v>5</v>
      </c>
      <c r="X82" s="71">
        <v>10</v>
      </c>
      <c r="Y82" s="71">
        <v>5</v>
      </c>
      <c r="Z82" s="70" t="s">
        <v>230</v>
      </c>
      <c r="AA82" s="61"/>
      <c r="AB82" s="61"/>
      <c r="AC82" s="61"/>
      <c r="AD82" s="61" t="s">
        <v>332</v>
      </c>
      <c r="AE82" s="61"/>
      <c r="AF82" s="61"/>
      <c r="AG82" s="61"/>
      <c r="AH82" s="61"/>
    </row>
    <row r="83" ht="28.5" spans="1:34">
      <c r="A83" s="61" t="s">
        <v>70</v>
      </c>
      <c r="B83" s="38" t="s">
        <v>95</v>
      </c>
      <c r="C83" s="69" t="s">
        <v>72</v>
      </c>
      <c r="D83" s="84" t="s">
        <v>333</v>
      </c>
      <c r="E83" s="39" t="s">
        <v>334</v>
      </c>
      <c r="F83" s="61" t="s">
        <v>227</v>
      </c>
      <c r="G83" s="61" t="s">
        <v>117</v>
      </c>
      <c r="H83" s="70" t="s">
        <v>118</v>
      </c>
      <c r="I83" s="70" t="s">
        <v>228</v>
      </c>
      <c r="J83" s="70" t="s">
        <v>112</v>
      </c>
      <c r="K83" s="70" t="s">
        <v>100</v>
      </c>
      <c r="L83" s="72" t="s">
        <v>113</v>
      </c>
      <c r="M83" s="73" t="s">
        <v>102</v>
      </c>
      <c r="N83" s="73" t="s">
        <v>113</v>
      </c>
      <c r="O83" s="61"/>
      <c r="P83" s="70" t="s">
        <v>100</v>
      </c>
      <c r="Q83" s="71">
        <f>VLOOKUP(E83,Sheet1!A:C,2,0)</f>
        <v>99.98</v>
      </c>
      <c r="R83" s="71">
        <f>VLOOKUP(E83,Sheet1!A:C,3,0)</f>
        <v>59.99</v>
      </c>
      <c r="S83" s="71">
        <f t="shared" si="7"/>
        <v>59.99</v>
      </c>
      <c r="T83" s="71">
        <f t="shared" si="9"/>
        <v>59.99</v>
      </c>
      <c r="U83" s="71">
        <v>0</v>
      </c>
      <c r="V83" s="71">
        <f t="shared" si="8"/>
        <v>0</v>
      </c>
      <c r="W83" s="71">
        <v>5</v>
      </c>
      <c r="X83" s="71">
        <v>10</v>
      </c>
      <c r="Y83" s="71">
        <v>5</v>
      </c>
      <c r="Z83" s="70" t="s">
        <v>230</v>
      </c>
      <c r="AA83" s="61"/>
      <c r="AB83" s="61"/>
      <c r="AC83" s="61"/>
      <c r="AD83" s="61" t="s">
        <v>335</v>
      </c>
      <c r="AE83" s="61"/>
      <c r="AF83" s="61"/>
      <c r="AG83" s="61"/>
      <c r="AH83" s="61"/>
    </row>
    <row r="84" ht="28.5" spans="1:34">
      <c r="A84" s="61" t="s">
        <v>70</v>
      </c>
      <c r="B84" s="38" t="s">
        <v>95</v>
      </c>
      <c r="C84" s="69" t="s">
        <v>72</v>
      </c>
      <c r="D84" s="84" t="s">
        <v>336</v>
      </c>
      <c r="E84" s="39" t="s">
        <v>337</v>
      </c>
      <c r="F84" s="61" t="s">
        <v>227</v>
      </c>
      <c r="G84" s="61" t="s">
        <v>117</v>
      </c>
      <c r="H84" s="70" t="s">
        <v>118</v>
      </c>
      <c r="I84" s="70" t="s">
        <v>228</v>
      </c>
      <c r="J84" s="70" t="s">
        <v>112</v>
      </c>
      <c r="K84" s="70" t="s">
        <v>100</v>
      </c>
      <c r="L84" s="72" t="s">
        <v>113</v>
      </c>
      <c r="M84" s="73" t="s">
        <v>102</v>
      </c>
      <c r="N84" s="73" t="s">
        <v>113</v>
      </c>
      <c r="O84" s="61"/>
      <c r="P84" s="70" t="s">
        <v>100</v>
      </c>
      <c r="Q84" s="71">
        <f>VLOOKUP(E84,Sheet1!A:C,2,0)</f>
        <v>94.99</v>
      </c>
      <c r="R84" s="71">
        <f>VLOOKUP(E84,Sheet1!A:C,3,0)</f>
        <v>56.99</v>
      </c>
      <c r="S84" s="71">
        <f t="shared" si="7"/>
        <v>56.99</v>
      </c>
      <c r="T84" s="71">
        <f t="shared" si="9"/>
        <v>56.99</v>
      </c>
      <c r="U84" s="71">
        <f>VLOOKUP(E84,Sheet2!A:B,2,0)</f>
        <v>56.99</v>
      </c>
      <c r="V84" s="71">
        <f t="shared" si="8"/>
        <v>56.99</v>
      </c>
      <c r="W84" s="71">
        <v>5</v>
      </c>
      <c r="X84" s="71">
        <v>10</v>
      </c>
      <c r="Y84" s="71">
        <v>5</v>
      </c>
      <c r="Z84" s="70" t="s">
        <v>230</v>
      </c>
      <c r="AA84" s="61"/>
      <c r="AB84" s="61"/>
      <c r="AC84" s="61"/>
      <c r="AD84" s="61" t="s">
        <v>338</v>
      </c>
      <c r="AE84" s="61"/>
      <c r="AF84" s="61"/>
      <c r="AG84" s="61"/>
      <c r="AH84" s="61"/>
    </row>
    <row r="85" ht="28.5" spans="1:34">
      <c r="A85" s="61" t="s">
        <v>70</v>
      </c>
      <c r="B85" s="38" t="s">
        <v>95</v>
      </c>
      <c r="C85" s="69" t="s">
        <v>72</v>
      </c>
      <c r="D85" s="84" t="s">
        <v>339</v>
      </c>
      <c r="E85" s="32" t="s">
        <v>340</v>
      </c>
      <c r="F85" s="70" t="s">
        <v>341</v>
      </c>
      <c r="G85" s="61" t="s">
        <v>159</v>
      </c>
      <c r="H85" s="70" t="s">
        <v>118</v>
      </c>
      <c r="I85" s="70" t="s">
        <v>251</v>
      </c>
      <c r="J85" s="70" t="s">
        <v>229</v>
      </c>
      <c r="K85" s="70" t="s">
        <v>100</v>
      </c>
      <c r="L85" s="72" t="s">
        <v>113</v>
      </c>
      <c r="M85" s="73" t="s">
        <v>102</v>
      </c>
      <c r="N85" s="73" t="s">
        <v>113</v>
      </c>
      <c r="O85" s="61"/>
      <c r="P85" s="70" t="s">
        <v>100</v>
      </c>
      <c r="Q85" s="71">
        <f>VLOOKUP(E85,Sheet1!A:C,2,0)</f>
        <v>99.99</v>
      </c>
      <c r="R85" s="71">
        <f>VLOOKUP(E85,Sheet1!A:C,3,0)</f>
        <v>0</v>
      </c>
      <c r="S85" s="71">
        <f t="shared" si="7"/>
        <v>0</v>
      </c>
      <c r="T85" s="71">
        <f t="shared" si="9"/>
        <v>0</v>
      </c>
      <c r="U85" s="71"/>
      <c r="V85" s="71">
        <f t="shared" si="8"/>
        <v>0</v>
      </c>
      <c r="W85" s="71">
        <v>5</v>
      </c>
      <c r="X85" s="71">
        <v>10</v>
      </c>
      <c r="Y85" s="71">
        <v>5</v>
      </c>
      <c r="Z85" s="70" t="s">
        <v>230</v>
      </c>
      <c r="AA85" s="61"/>
      <c r="AB85" s="61"/>
      <c r="AC85" s="61"/>
      <c r="AD85" s="61" t="s">
        <v>342</v>
      </c>
      <c r="AE85" s="61"/>
      <c r="AF85" s="61"/>
      <c r="AG85" s="61"/>
      <c r="AH85" s="61"/>
    </row>
    <row r="86" ht="28.5" spans="1:34">
      <c r="A86" s="61" t="s">
        <v>70</v>
      </c>
      <c r="B86" s="38" t="s">
        <v>95</v>
      </c>
      <c r="C86" s="69" t="s">
        <v>72</v>
      </c>
      <c r="D86" s="84" t="s">
        <v>343</v>
      </c>
      <c r="E86" s="44" t="s">
        <v>344</v>
      </c>
      <c r="F86" s="61" t="s">
        <v>227</v>
      </c>
      <c r="G86" s="61" t="s">
        <v>117</v>
      </c>
      <c r="H86" s="70" t="s">
        <v>118</v>
      </c>
      <c r="I86" s="70" t="s">
        <v>228</v>
      </c>
      <c r="J86" s="70" t="s">
        <v>252</v>
      </c>
      <c r="K86" s="70" t="s">
        <v>100</v>
      </c>
      <c r="L86" s="72" t="s">
        <v>113</v>
      </c>
      <c r="M86" s="73" t="s">
        <v>102</v>
      </c>
      <c r="N86" s="73" t="s">
        <v>113</v>
      </c>
      <c r="O86" s="61"/>
      <c r="P86" s="70" t="s">
        <v>100</v>
      </c>
      <c r="Q86" s="71">
        <f>VLOOKUP(E86,Sheet1!A:C,2,0)</f>
        <v>56.99</v>
      </c>
      <c r="R86" s="71">
        <f>VLOOKUP(E86,Sheet1!A:C,3,0)</f>
        <v>32.99</v>
      </c>
      <c r="S86" s="71">
        <f t="shared" si="7"/>
        <v>32.99</v>
      </c>
      <c r="T86" s="71">
        <f t="shared" si="9"/>
        <v>32.99</v>
      </c>
      <c r="U86" s="71">
        <f>VLOOKUP(E86,Sheet2!A:B,2,0)</f>
        <v>32.99</v>
      </c>
      <c r="V86" s="71">
        <f t="shared" si="8"/>
        <v>32.99</v>
      </c>
      <c r="W86" s="71">
        <v>5</v>
      </c>
      <c r="X86" s="71">
        <v>10</v>
      </c>
      <c r="Y86" s="71">
        <v>5</v>
      </c>
      <c r="Z86" s="70" t="s">
        <v>230</v>
      </c>
      <c r="AA86" s="61"/>
      <c r="AB86" s="61"/>
      <c r="AC86" s="61"/>
      <c r="AD86" s="61" t="s">
        <v>345</v>
      </c>
      <c r="AE86" s="61"/>
      <c r="AF86" s="61"/>
      <c r="AG86" s="61"/>
      <c r="AH86" s="61"/>
    </row>
    <row r="87" ht="28.5" spans="1:34">
      <c r="A87" s="61" t="s">
        <v>70</v>
      </c>
      <c r="B87" s="38" t="s">
        <v>95</v>
      </c>
      <c r="C87" s="69" t="s">
        <v>72</v>
      </c>
      <c r="D87" s="84" t="s">
        <v>346</v>
      </c>
      <c r="E87" s="44" t="s">
        <v>347</v>
      </c>
      <c r="F87" s="61" t="s">
        <v>227</v>
      </c>
      <c r="G87" s="61" t="s">
        <v>117</v>
      </c>
      <c r="H87" s="70" t="s">
        <v>118</v>
      </c>
      <c r="I87" s="70" t="s">
        <v>228</v>
      </c>
      <c r="J87" s="70" t="s">
        <v>252</v>
      </c>
      <c r="K87" s="70" t="s">
        <v>100</v>
      </c>
      <c r="L87" s="72" t="s">
        <v>113</v>
      </c>
      <c r="M87" s="73" t="s">
        <v>102</v>
      </c>
      <c r="N87" s="73" t="s">
        <v>113</v>
      </c>
      <c r="O87" s="61"/>
      <c r="P87" s="70" t="s">
        <v>100</v>
      </c>
      <c r="Q87" s="71">
        <f>VLOOKUP(E87,Sheet1!A:C,2,0)</f>
        <v>56.99</v>
      </c>
      <c r="R87" s="71">
        <f>VLOOKUP(E87,Sheet1!A:C,3,0)</f>
        <v>32.99</v>
      </c>
      <c r="S87" s="71">
        <f t="shared" si="7"/>
        <v>32.99</v>
      </c>
      <c r="T87" s="71">
        <f t="shared" si="9"/>
        <v>32.99</v>
      </c>
      <c r="U87" s="71">
        <f>VLOOKUP(E87,Sheet2!A:B,2,0)</f>
        <v>32.99</v>
      </c>
      <c r="V87" s="71">
        <f t="shared" si="8"/>
        <v>32.99</v>
      </c>
      <c r="W87" s="71">
        <v>5</v>
      </c>
      <c r="X87" s="71">
        <v>10</v>
      </c>
      <c r="Y87" s="71">
        <v>5</v>
      </c>
      <c r="Z87" s="70" t="s">
        <v>230</v>
      </c>
      <c r="AA87" s="61"/>
      <c r="AB87" s="61"/>
      <c r="AC87" s="61"/>
      <c r="AD87" s="61" t="s">
        <v>348</v>
      </c>
      <c r="AE87" s="61"/>
      <c r="AF87" s="61"/>
      <c r="AG87" s="61"/>
      <c r="AH87" s="61"/>
    </row>
    <row r="88" ht="28.5" spans="1:34">
      <c r="A88" s="61" t="s">
        <v>70</v>
      </c>
      <c r="B88" s="38" t="s">
        <v>95</v>
      </c>
      <c r="C88" s="69" t="s">
        <v>72</v>
      </c>
      <c r="D88" s="84" t="s">
        <v>349</v>
      </c>
      <c r="E88" s="44" t="s">
        <v>344</v>
      </c>
      <c r="F88" s="70" t="s">
        <v>116</v>
      </c>
      <c r="G88" s="61" t="s">
        <v>117</v>
      </c>
      <c r="H88" s="70" t="s">
        <v>118</v>
      </c>
      <c r="I88" s="70" t="s">
        <v>228</v>
      </c>
      <c r="J88" s="70" t="s">
        <v>252</v>
      </c>
      <c r="K88" s="70" t="s">
        <v>100</v>
      </c>
      <c r="L88" s="72" t="s">
        <v>113</v>
      </c>
      <c r="M88" s="73" t="s">
        <v>102</v>
      </c>
      <c r="N88" s="73" t="s">
        <v>113</v>
      </c>
      <c r="O88" s="61"/>
      <c r="P88" s="70" t="s">
        <v>100</v>
      </c>
      <c r="Q88" s="71">
        <f>VLOOKUP(E88,Sheet1!A:C,2,0)</f>
        <v>56.99</v>
      </c>
      <c r="R88" s="71">
        <f>VLOOKUP(E88,Sheet1!A:C,3,0)</f>
        <v>32.99</v>
      </c>
      <c r="S88" s="71">
        <f t="shared" si="7"/>
        <v>32.99</v>
      </c>
      <c r="T88" s="71">
        <f t="shared" si="9"/>
        <v>32.99</v>
      </c>
      <c r="U88" s="71">
        <f>VLOOKUP(E88,Sheet2!A:B,2,0)</f>
        <v>32.99</v>
      </c>
      <c r="V88" s="71">
        <f t="shared" si="8"/>
        <v>32.99</v>
      </c>
      <c r="W88" s="71">
        <v>5</v>
      </c>
      <c r="X88" s="71">
        <v>10</v>
      </c>
      <c r="Y88" s="71">
        <v>5</v>
      </c>
      <c r="Z88" s="70" t="s">
        <v>230</v>
      </c>
      <c r="AA88" s="61"/>
      <c r="AB88" s="61"/>
      <c r="AC88" s="61"/>
      <c r="AD88" s="61" t="s">
        <v>350</v>
      </c>
      <c r="AE88" s="61"/>
      <c r="AF88" s="61"/>
      <c r="AG88" s="61"/>
      <c r="AH88" s="61"/>
    </row>
    <row r="89" ht="28.5" spans="1:34">
      <c r="A89" s="61" t="s">
        <v>70</v>
      </c>
      <c r="B89" s="38" t="s">
        <v>95</v>
      </c>
      <c r="C89" s="69" t="s">
        <v>72</v>
      </c>
      <c r="D89" s="84" t="s">
        <v>351</v>
      </c>
      <c r="E89" s="44" t="s">
        <v>352</v>
      </c>
      <c r="F89" s="61" t="s">
        <v>227</v>
      </c>
      <c r="G89" s="61" t="s">
        <v>117</v>
      </c>
      <c r="H89" s="70" t="s">
        <v>118</v>
      </c>
      <c r="I89" s="70" t="s">
        <v>228</v>
      </c>
      <c r="J89" s="70" t="s">
        <v>252</v>
      </c>
      <c r="K89" s="70" t="s">
        <v>100</v>
      </c>
      <c r="L89" s="72" t="s">
        <v>113</v>
      </c>
      <c r="M89" s="73" t="s">
        <v>102</v>
      </c>
      <c r="N89" s="73" t="s">
        <v>113</v>
      </c>
      <c r="O89" s="61"/>
      <c r="P89" s="70" t="s">
        <v>100</v>
      </c>
      <c r="Q89" s="71">
        <f>VLOOKUP(E89,Sheet1!A:C,2,0)</f>
        <v>45.99</v>
      </c>
      <c r="R89" s="71">
        <f>VLOOKUP(E89,Sheet1!A:C,3,0)</f>
        <v>29.99</v>
      </c>
      <c r="S89" s="71">
        <f t="shared" ref="S89:S120" si="10">R89</f>
        <v>29.99</v>
      </c>
      <c r="T89" s="71">
        <f t="shared" si="9"/>
        <v>29.99</v>
      </c>
      <c r="U89" s="71">
        <f>VLOOKUP(E89,Sheet2!A:B,2,0)</f>
        <v>25.99</v>
      </c>
      <c r="V89" s="71">
        <f t="shared" ref="V89:V120" si="11">U89</f>
        <v>25.99</v>
      </c>
      <c r="W89" s="71">
        <v>5</v>
      </c>
      <c r="X89" s="71">
        <v>10</v>
      </c>
      <c r="Y89" s="71">
        <v>5</v>
      </c>
      <c r="Z89" s="70" t="s">
        <v>230</v>
      </c>
      <c r="AA89" s="61"/>
      <c r="AB89" s="61"/>
      <c r="AC89" s="61"/>
      <c r="AD89" s="61" t="s">
        <v>353</v>
      </c>
      <c r="AE89" s="61"/>
      <c r="AF89" s="61"/>
      <c r="AG89" s="61"/>
      <c r="AH89" s="61"/>
    </row>
    <row r="90" ht="28.5" spans="1:34">
      <c r="A90" s="61" t="s">
        <v>70</v>
      </c>
      <c r="B90" s="38" t="s">
        <v>95</v>
      </c>
      <c r="C90" s="69" t="s">
        <v>72</v>
      </c>
      <c r="D90" s="84" t="s">
        <v>354</v>
      </c>
      <c r="E90" s="44" t="s">
        <v>355</v>
      </c>
      <c r="F90" s="61" t="s">
        <v>227</v>
      </c>
      <c r="G90" s="61" t="s">
        <v>117</v>
      </c>
      <c r="H90" s="70" t="s">
        <v>118</v>
      </c>
      <c r="I90" s="70" t="s">
        <v>228</v>
      </c>
      <c r="J90" s="70" t="s">
        <v>252</v>
      </c>
      <c r="K90" s="70" t="s">
        <v>100</v>
      </c>
      <c r="L90" s="72" t="s">
        <v>113</v>
      </c>
      <c r="M90" s="73" t="s">
        <v>102</v>
      </c>
      <c r="N90" s="73" t="s">
        <v>113</v>
      </c>
      <c r="O90" s="61"/>
      <c r="P90" s="70" t="s">
        <v>100</v>
      </c>
      <c r="Q90" s="71">
        <f>VLOOKUP(E90,Sheet1!A:C,2,0)</f>
        <v>49.99</v>
      </c>
      <c r="R90" s="71">
        <f>VLOOKUP(E90,Sheet1!A:C,3,0)</f>
        <v>27.99</v>
      </c>
      <c r="S90" s="71">
        <f t="shared" si="10"/>
        <v>27.99</v>
      </c>
      <c r="T90" s="71">
        <f t="shared" si="9"/>
        <v>27.99</v>
      </c>
      <c r="U90" s="71">
        <f>VLOOKUP(E90,Sheet2!A:B,2,0)</f>
        <v>27.99</v>
      </c>
      <c r="V90" s="71">
        <f t="shared" si="11"/>
        <v>27.99</v>
      </c>
      <c r="W90" s="71">
        <v>5</v>
      </c>
      <c r="X90" s="71">
        <v>10</v>
      </c>
      <c r="Y90" s="71">
        <v>5</v>
      </c>
      <c r="Z90" s="70" t="s">
        <v>230</v>
      </c>
      <c r="AA90" s="61"/>
      <c r="AB90" s="61"/>
      <c r="AC90" s="61"/>
      <c r="AD90" s="61" t="s">
        <v>356</v>
      </c>
      <c r="AE90" s="61"/>
      <c r="AF90" s="61"/>
      <c r="AG90" s="61"/>
      <c r="AH90" s="61"/>
    </row>
    <row r="91" ht="28.5" spans="1:34">
      <c r="A91" s="61" t="s">
        <v>70</v>
      </c>
      <c r="B91" s="38" t="s">
        <v>95</v>
      </c>
      <c r="C91" s="69" t="s">
        <v>72</v>
      </c>
      <c r="D91" s="84" t="s">
        <v>357</v>
      </c>
      <c r="E91" s="44" t="s">
        <v>355</v>
      </c>
      <c r="F91" s="70" t="s">
        <v>116</v>
      </c>
      <c r="G91" s="61" t="s">
        <v>117</v>
      </c>
      <c r="H91" s="70" t="s">
        <v>118</v>
      </c>
      <c r="I91" s="70" t="s">
        <v>228</v>
      </c>
      <c r="J91" s="70" t="s">
        <v>252</v>
      </c>
      <c r="K91" s="70" t="s">
        <v>100</v>
      </c>
      <c r="L91" s="72" t="s">
        <v>113</v>
      </c>
      <c r="M91" s="73" t="s">
        <v>102</v>
      </c>
      <c r="N91" s="73" t="s">
        <v>113</v>
      </c>
      <c r="O91" s="61"/>
      <c r="P91" s="70" t="s">
        <v>100</v>
      </c>
      <c r="Q91" s="71">
        <f>VLOOKUP(E91,Sheet1!A:C,2,0)</f>
        <v>49.99</v>
      </c>
      <c r="R91" s="71">
        <f>VLOOKUP(E91,Sheet1!A:C,3,0)</f>
        <v>27.99</v>
      </c>
      <c r="S91" s="71">
        <f t="shared" si="10"/>
        <v>27.99</v>
      </c>
      <c r="T91" s="71">
        <f t="shared" si="9"/>
        <v>27.99</v>
      </c>
      <c r="U91" s="71">
        <f>VLOOKUP(E91,Sheet2!A:B,2,0)</f>
        <v>27.99</v>
      </c>
      <c r="V91" s="71">
        <f t="shared" si="11"/>
        <v>27.99</v>
      </c>
      <c r="W91" s="71">
        <v>5</v>
      </c>
      <c r="X91" s="71">
        <v>10</v>
      </c>
      <c r="Y91" s="71">
        <v>5</v>
      </c>
      <c r="Z91" s="70" t="s">
        <v>230</v>
      </c>
      <c r="AA91" s="61"/>
      <c r="AB91" s="61"/>
      <c r="AC91" s="61"/>
      <c r="AD91" s="61" t="s">
        <v>358</v>
      </c>
      <c r="AE91" s="61"/>
      <c r="AF91" s="61"/>
      <c r="AG91" s="61"/>
      <c r="AH91" s="61"/>
    </row>
    <row r="92" ht="28.5" spans="1:34">
      <c r="A92" s="61" t="s">
        <v>70</v>
      </c>
      <c r="B92" s="38" t="s">
        <v>95</v>
      </c>
      <c r="C92" s="69" t="s">
        <v>72</v>
      </c>
      <c r="D92" s="84" t="s">
        <v>359</v>
      </c>
      <c r="E92" s="44" t="s">
        <v>360</v>
      </c>
      <c r="F92" s="61" t="s">
        <v>227</v>
      </c>
      <c r="G92" s="61" t="s">
        <v>117</v>
      </c>
      <c r="H92" s="70" t="s">
        <v>118</v>
      </c>
      <c r="I92" s="70" t="s">
        <v>228</v>
      </c>
      <c r="J92" s="70" t="s">
        <v>252</v>
      </c>
      <c r="K92" s="70" t="s">
        <v>100</v>
      </c>
      <c r="L92" s="72" t="s">
        <v>113</v>
      </c>
      <c r="M92" s="73" t="s">
        <v>102</v>
      </c>
      <c r="N92" s="73" t="s">
        <v>113</v>
      </c>
      <c r="O92" s="61"/>
      <c r="P92" s="70" t="s">
        <v>100</v>
      </c>
      <c r="Q92" s="71">
        <f>VLOOKUP(E92,Sheet1!A:C,2,0)</f>
        <v>45.99</v>
      </c>
      <c r="R92" s="71">
        <f>VLOOKUP(E92,Sheet1!A:C,3,0)</f>
        <v>29.99</v>
      </c>
      <c r="S92" s="71">
        <f t="shared" si="10"/>
        <v>29.99</v>
      </c>
      <c r="T92" s="71">
        <f t="shared" si="9"/>
        <v>29.99</v>
      </c>
      <c r="U92" s="71">
        <f>VLOOKUP(E92,Sheet2!A:B,2,0)</f>
        <v>25.99</v>
      </c>
      <c r="V92" s="71">
        <f t="shared" si="11"/>
        <v>25.99</v>
      </c>
      <c r="W92" s="71">
        <v>5</v>
      </c>
      <c r="X92" s="71">
        <v>10</v>
      </c>
      <c r="Y92" s="71">
        <v>5</v>
      </c>
      <c r="Z92" s="70" t="s">
        <v>230</v>
      </c>
      <c r="AA92" s="61"/>
      <c r="AB92" s="61"/>
      <c r="AC92" s="61"/>
      <c r="AD92" s="61" t="s">
        <v>361</v>
      </c>
      <c r="AE92" s="61"/>
      <c r="AF92" s="61"/>
      <c r="AG92" s="61"/>
      <c r="AH92" s="61"/>
    </row>
    <row r="93" ht="28.5" spans="1:34">
      <c r="A93" s="61" t="s">
        <v>70</v>
      </c>
      <c r="B93" s="38" t="s">
        <v>95</v>
      </c>
      <c r="C93" s="69" t="s">
        <v>72</v>
      </c>
      <c r="D93" s="84" t="s">
        <v>362</v>
      </c>
      <c r="E93" s="44" t="s">
        <v>363</v>
      </c>
      <c r="F93" s="61" t="s">
        <v>227</v>
      </c>
      <c r="G93" s="61" t="s">
        <v>117</v>
      </c>
      <c r="H93" s="70" t="s">
        <v>118</v>
      </c>
      <c r="I93" s="70" t="s">
        <v>228</v>
      </c>
      <c r="J93" s="70" t="s">
        <v>112</v>
      </c>
      <c r="K93" s="70" t="s">
        <v>100</v>
      </c>
      <c r="L93" s="72" t="s">
        <v>113</v>
      </c>
      <c r="M93" s="73" t="s">
        <v>102</v>
      </c>
      <c r="N93" s="73" t="s">
        <v>113</v>
      </c>
      <c r="O93" s="61"/>
      <c r="P93" s="70" t="s">
        <v>100</v>
      </c>
      <c r="Q93" s="71">
        <f>VLOOKUP(E93,Sheet1!A:C,2,0)</f>
        <v>79.99</v>
      </c>
      <c r="R93" s="71">
        <f>VLOOKUP(E93,Sheet1!A:C,3,0)</f>
        <v>43.99</v>
      </c>
      <c r="S93" s="71">
        <f t="shared" si="10"/>
        <v>43.99</v>
      </c>
      <c r="T93" s="71">
        <f t="shared" si="9"/>
        <v>43.99</v>
      </c>
      <c r="U93" s="71">
        <f>VLOOKUP(E93,Sheet2!A:B,2,0)</f>
        <v>43.99</v>
      </c>
      <c r="V93" s="71">
        <f t="shared" si="11"/>
        <v>43.99</v>
      </c>
      <c r="W93" s="71">
        <v>5</v>
      </c>
      <c r="X93" s="71">
        <v>10</v>
      </c>
      <c r="Y93" s="71">
        <v>5</v>
      </c>
      <c r="Z93" s="70" t="s">
        <v>230</v>
      </c>
      <c r="AA93" s="61"/>
      <c r="AB93" s="61"/>
      <c r="AC93" s="61"/>
      <c r="AD93" s="61" t="s">
        <v>364</v>
      </c>
      <c r="AE93" s="61"/>
      <c r="AF93" s="61"/>
      <c r="AG93" s="61"/>
      <c r="AH93" s="61"/>
    </row>
    <row r="94" ht="28.5" spans="1:34">
      <c r="A94" s="61" t="s">
        <v>70</v>
      </c>
      <c r="B94" s="38" t="s">
        <v>95</v>
      </c>
      <c r="C94" s="69" t="s">
        <v>72</v>
      </c>
      <c r="D94" s="84" t="s">
        <v>365</v>
      </c>
      <c r="E94" s="44" t="s">
        <v>366</v>
      </c>
      <c r="F94" s="61" t="s">
        <v>75</v>
      </c>
      <c r="G94" s="61" t="s">
        <v>76</v>
      </c>
      <c r="H94" s="61" t="s">
        <v>77</v>
      </c>
      <c r="I94" s="70" t="s">
        <v>235</v>
      </c>
      <c r="J94" s="70" t="s">
        <v>99</v>
      </c>
      <c r="K94" s="70" t="s">
        <v>100</v>
      </c>
      <c r="L94" s="72" t="s">
        <v>367</v>
      </c>
      <c r="M94" s="73" t="s">
        <v>102</v>
      </c>
      <c r="N94" s="79" t="s">
        <v>103</v>
      </c>
      <c r="O94" s="61"/>
      <c r="P94" s="70" t="s">
        <v>100</v>
      </c>
      <c r="Q94" s="71">
        <f>VLOOKUP(E94,Sheet1!A:C,2,0)</f>
        <v>99.99</v>
      </c>
      <c r="R94" s="71">
        <f>VLOOKUP(E94,Sheet1!A:C,3,0)</f>
        <v>53.99</v>
      </c>
      <c r="S94" s="71">
        <f t="shared" si="10"/>
        <v>53.99</v>
      </c>
      <c r="T94" s="71">
        <f t="shared" si="9"/>
        <v>53.99</v>
      </c>
      <c r="U94" s="71">
        <f>VLOOKUP(E94,Sheet2!A:B,2,0)</f>
        <v>53.99</v>
      </c>
      <c r="V94" s="71">
        <f t="shared" si="11"/>
        <v>53.99</v>
      </c>
      <c r="W94" s="71">
        <v>5</v>
      </c>
      <c r="X94" s="71">
        <v>10</v>
      </c>
      <c r="Y94" s="71">
        <v>5</v>
      </c>
      <c r="Z94" s="70" t="s">
        <v>230</v>
      </c>
      <c r="AA94" s="61"/>
      <c r="AB94" s="61"/>
      <c r="AC94" s="61"/>
      <c r="AD94" s="61" t="s">
        <v>368</v>
      </c>
      <c r="AE94" s="61"/>
      <c r="AF94" s="61"/>
      <c r="AG94" s="61"/>
      <c r="AH94" s="61"/>
    </row>
    <row r="95" ht="28.5" spans="1:34">
      <c r="A95" s="61" t="s">
        <v>70</v>
      </c>
      <c r="B95" s="38" t="s">
        <v>95</v>
      </c>
      <c r="C95" s="69" t="s">
        <v>72</v>
      </c>
      <c r="D95" s="84" t="s">
        <v>369</v>
      </c>
      <c r="E95" s="44" t="s">
        <v>370</v>
      </c>
      <c r="F95" s="61" t="s">
        <v>75</v>
      </c>
      <c r="G95" s="61" t="s">
        <v>76</v>
      </c>
      <c r="H95" s="61" t="s">
        <v>77</v>
      </c>
      <c r="I95" s="70" t="s">
        <v>235</v>
      </c>
      <c r="J95" s="70" t="s">
        <v>99</v>
      </c>
      <c r="K95" s="70" t="s">
        <v>100</v>
      </c>
      <c r="L95" s="72" t="s">
        <v>367</v>
      </c>
      <c r="M95" s="73" t="s">
        <v>102</v>
      </c>
      <c r="N95" s="79" t="s">
        <v>103</v>
      </c>
      <c r="O95" s="61"/>
      <c r="P95" s="70" t="s">
        <v>100</v>
      </c>
      <c r="Q95" s="71">
        <f>VLOOKUP(E95,Sheet1!A:C,2,0)</f>
        <v>89.99</v>
      </c>
      <c r="R95" s="71">
        <f>VLOOKUP(E95,Sheet1!A:C,3,0)</f>
        <v>49.99</v>
      </c>
      <c r="S95" s="71">
        <f t="shared" si="10"/>
        <v>49.99</v>
      </c>
      <c r="T95" s="71">
        <f t="shared" si="9"/>
        <v>49.99</v>
      </c>
      <c r="U95" s="71">
        <f>VLOOKUP(E95,Sheet2!A:B,2,0)</f>
        <v>49.99</v>
      </c>
      <c r="V95" s="71">
        <f t="shared" si="11"/>
        <v>49.99</v>
      </c>
      <c r="W95" s="71">
        <v>5</v>
      </c>
      <c r="X95" s="71">
        <v>10</v>
      </c>
      <c r="Y95" s="71">
        <v>5</v>
      </c>
      <c r="Z95" s="70" t="s">
        <v>230</v>
      </c>
      <c r="AA95" s="61"/>
      <c r="AB95" s="61"/>
      <c r="AC95" s="61"/>
      <c r="AD95" s="61" t="s">
        <v>371</v>
      </c>
      <c r="AE95" s="61"/>
      <c r="AF95" s="61"/>
      <c r="AG95" s="61"/>
      <c r="AH95" s="61"/>
    </row>
    <row r="96" ht="28.5" spans="1:34">
      <c r="A96" s="61" t="s">
        <v>70</v>
      </c>
      <c r="B96" s="38" t="s">
        <v>95</v>
      </c>
      <c r="C96" s="69" t="s">
        <v>72</v>
      </c>
      <c r="D96" s="84" t="s">
        <v>372</v>
      </c>
      <c r="E96" s="44" t="s">
        <v>373</v>
      </c>
      <c r="F96" s="61" t="s">
        <v>227</v>
      </c>
      <c r="G96" s="61" t="s">
        <v>117</v>
      </c>
      <c r="H96" s="70" t="s">
        <v>118</v>
      </c>
      <c r="I96" s="70" t="s">
        <v>228</v>
      </c>
      <c r="J96" s="70" t="s">
        <v>112</v>
      </c>
      <c r="K96" s="70" t="s">
        <v>100</v>
      </c>
      <c r="L96" s="72" t="s">
        <v>113</v>
      </c>
      <c r="M96" s="73" t="s">
        <v>102</v>
      </c>
      <c r="N96" s="73" t="s">
        <v>113</v>
      </c>
      <c r="O96" s="61"/>
      <c r="P96" s="70" t="s">
        <v>100</v>
      </c>
      <c r="Q96" s="71">
        <f>VLOOKUP(E96,Sheet1!A:C,2,0)</f>
        <v>0</v>
      </c>
      <c r="R96" s="71">
        <f>VLOOKUP(E96,Sheet1!A:C,3,0)</f>
        <v>29.99</v>
      </c>
      <c r="S96" s="71">
        <f t="shared" si="10"/>
        <v>29.99</v>
      </c>
      <c r="T96" s="71">
        <f t="shared" si="9"/>
        <v>29.99</v>
      </c>
      <c r="U96" s="71">
        <f>VLOOKUP(E96,Sheet2!A:B,2,0)</f>
        <v>29.99</v>
      </c>
      <c r="V96" s="71">
        <f t="shared" si="11"/>
        <v>29.99</v>
      </c>
      <c r="W96" s="71">
        <v>5</v>
      </c>
      <c r="X96" s="71">
        <v>10</v>
      </c>
      <c r="Y96" s="71">
        <v>5</v>
      </c>
      <c r="Z96" s="70" t="s">
        <v>230</v>
      </c>
      <c r="AA96" s="61"/>
      <c r="AB96" s="61"/>
      <c r="AC96" s="61"/>
      <c r="AD96" s="61" t="s">
        <v>374</v>
      </c>
      <c r="AE96" s="61"/>
      <c r="AF96" s="61"/>
      <c r="AG96" s="61"/>
      <c r="AH96" s="61"/>
    </row>
    <row r="97" ht="28.5" spans="1:34">
      <c r="A97" s="61" t="s">
        <v>70</v>
      </c>
      <c r="B97" s="38" t="s">
        <v>95</v>
      </c>
      <c r="C97" s="69" t="s">
        <v>72</v>
      </c>
      <c r="D97" s="84" t="s">
        <v>375</v>
      </c>
      <c r="E97" s="44" t="s">
        <v>376</v>
      </c>
      <c r="F97" s="61" t="s">
        <v>227</v>
      </c>
      <c r="G97" s="61" t="s">
        <v>117</v>
      </c>
      <c r="H97" s="70" t="s">
        <v>118</v>
      </c>
      <c r="I97" s="70" t="s">
        <v>228</v>
      </c>
      <c r="J97" s="70" t="s">
        <v>112</v>
      </c>
      <c r="K97" s="70" t="s">
        <v>100</v>
      </c>
      <c r="L97" s="72" t="s">
        <v>113</v>
      </c>
      <c r="M97" s="73" t="s">
        <v>102</v>
      </c>
      <c r="N97" s="73" t="s">
        <v>113</v>
      </c>
      <c r="O97" s="61"/>
      <c r="P97" s="70" t="s">
        <v>100</v>
      </c>
      <c r="Q97" s="71">
        <f>VLOOKUP(E97,Sheet1!A:C,2,0)</f>
        <v>0</v>
      </c>
      <c r="R97" s="71">
        <f>VLOOKUP(E97,Sheet1!A:C,3,0)</f>
        <v>32.99</v>
      </c>
      <c r="S97" s="71">
        <f t="shared" si="10"/>
        <v>32.99</v>
      </c>
      <c r="T97" s="71">
        <f t="shared" si="9"/>
        <v>32.99</v>
      </c>
      <c r="U97" s="71">
        <f>VLOOKUP(E97,Sheet2!A:B,2,0)</f>
        <v>32.99</v>
      </c>
      <c r="V97" s="71">
        <f t="shared" si="11"/>
        <v>32.99</v>
      </c>
      <c r="W97" s="71">
        <v>5</v>
      </c>
      <c r="X97" s="71">
        <v>10</v>
      </c>
      <c r="Y97" s="71">
        <v>5</v>
      </c>
      <c r="Z97" s="70" t="s">
        <v>230</v>
      </c>
      <c r="AA97" s="61"/>
      <c r="AB97" s="61"/>
      <c r="AC97" s="61"/>
      <c r="AD97" s="61" t="s">
        <v>377</v>
      </c>
      <c r="AE97" s="61"/>
      <c r="AF97" s="61"/>
      <c r="AG97" s="61"/>
      <c r="AH97" s="61"/>
    </row>
    <row r="98" ht="28.5" spans="1:34">
      <c r="A98" s="61" t="s">
        <v>70</v>
      </c>
      <c r="B98" s="38" t="s">
        <v>95</v>
      </c>
      <c r="C98" s="69" t="s">
        <v>72</v>
      </c>
      <c r="D98" s="84" t="s">
        <v>378</v>
      </c>
      <c r="E98" s="44" t="s">
        <v>379</v>
      </c>
      <c r="F98" s="61" t="s">
        <v>227</v>
      </c>
      <c r="G98" s="61" t="s">
        <v>117</v>
      </c>
      <c r="H98" s="70" t="s">
        <v>118</v>
      </c>
      <c r="I98" s="70" t="s">
        <v>228</v>
      </c>
      <c r="J98" s="70" t="s">
        <v>112</v>
      </c>
      <c r="K98" s="70" t="s">
        <v>100</v>
      </c>
      <c r="L98" s="72" t="s">
        <v>113</v>
      </c>
      <c r="M98" s="73" t="s">
        <v>102</v>
      </c>
      <c r="N98" s="73" t="s">
        <v>113</v>
      </c>
      <c r="O98" s="61"/>
      <c r="P98" s="70" t="s">
        <v>100</v>
      </c>
      <c r="Q98" s="71">
        <f>VLOOKUP(E98,Sheet1!A:C,2,0)</f>
        <v>0</v>
      </c>
      <c r="R98" s="71">
        <f>VLOOKUP(E98,Sheet1!A:C,3,0)</f>
        <v>49.99</v>
      </c>
      <c r="S98" s="71">
        <f t="shared" si="10"/>
        <v>49.99</v>
      </c>
      <c r="T98" s="71">
        <f t="shared" si="9"/>
        <v>49.99</v>
      </c>
      <c r="U98" s="71">
        <f>VLOOKUP(E98,Sheet2!A:B,2,0)</f>
        <v>49.99</v>
      </c>
      <c r="V98" s="71">
        <f t="shared" si="11"/>
        <v>49.99</v>
      </c>
      <c r="W98" s="71">
        <v>5</v>
      </c>
      <c r="X98" s="71">
        <v>10</v>
      </c>
      <c r="Y98" s="71">
        <v>5</v>
      </c>
      <c r="Z98" s="70" t="s">
        <v>230</v>
      </c>
      <c r="AA98" s="61"/>
      <c r="AB98" s="61"/>
      <c r="AC98" s="61"/>
      <c r="AD98" s="61" t="s">
        <v>380</v>
      </c>
      <c r="AE98" s="61"/>
      <c r="AF98" s="61"/>
      <c r="AG98" s="61"/>
      <c r="AH98" s="61"/>
    </row>
    <row r="99" ht="28.5" spans="1:34">
      <c r="A99" s="61" t="s">
        <v>70</v>
      </c>
      <c r="B99" s="38" t="s">
        <v>95</v>
      </c>
      <c r="C99" s="69" t="s">
        <v>72</v>
      </c>
      <c r="D99" s="84" t="s">
        <v>381</v>
      </c>
      <c r="E99" s="44" t="s">
        <v>382</v>
      </c>
      <c r="F99" s="61" t="s">
        <v>227</v>
      </c>
      <c r="G99" s="61" t="s">
        <v>117</v>
      </c>
      <c r="H99" s="70" t="s">
        <v>118</v>
      </c>
      <c r="I99" s="70" t="s">
        <v>228</v>
      </c>
      <c r="J99" s="70" t="s">
        <v>112</v>
      </c>
      <c r="K99" s="70" t="s">
        <v>100</v>
      </c>
      <c r="L99" s="72" t="s">
        <v>113</v>
      </c>
      <c r="M99" s="73" t="s">
        <v>102</v>
      </c>
      <c r="N99" s="73" t="s">
        <v>113</v>
      </c>
      <c r="O99" s="61"/>
      <c r="P99" s="70" t="s">
        <v>100</v>
      </c>
      <c r="Q99" s="71">
        <f>VLOOKUP(E99,Sheet1!A:C,2,0)</f>
        <v>0</v>
      </c>
      <c r="R99" s="71">
        <f>VLOOKUP(E99,Sheet1!A:C,3,0)</f>
        <v>42.99</v>
      </c>
      <c r="S99" s="71">
        <f t="shared" si="10"/>
        <v>42.99</v>
      </c>
      <c r="T99" s="71">
        <f t="shared" si="9"/>
        <v>42.99</v>
      </c>
      <c r="U99" s="71">
        <f>VLOOKUP(E99,Sheet2!A:B,2,0)</f>
        <v>42.99</v>
      </c>
      <c r="V99" s="71">
        <f t="shared" si="11"/>
        <v>42.99</v>
      </c>
      <c r="W99" s="71">
        <v>5</v>
      </c>
      <c r="X99" s="71">
        <v>10</v>
      </c>
      <c r="Y99" s="71">
        <v>5</v>
      </c>
      <c r="Z99" s="70" t="s">
        <v>230</v>
      </c>
      <c r="AA99" s="61"/>
      <c r="AB99" s="61"/>
      <c r="AC99" s="61"/>
      <c r="AD99" s="61" t="s">
        <v>383</v>
      </c>
      <c r="AE99" s="61"/>
      <c r="AF99" s="61"/>
      <c r="AG99" s="61"/>
      <c r="AH99" s="61"/>
    </row>
    <row r="100" ht="28.5" spans="1:34">
      <c r="A100" s="61" t="s">
        <v>70</v>
      </c>
      <c r="B100" s="38" t="s">
        <v>95</v>
      </c>
      <c r="C100" s="69" t="s">
        <v>72</v>
      </c>
      <c r="D100" s="84" t="s">
        <v>384</v>
      </c>
      <c r="E100" s="37" t="s">
        <v>385</v>
      </c>
      <c r="F100" s="61" t="s">
        <v>75</v>
      </c>
      <c r="G100" s="61" t="s">
        <v>76</v>
      </c>
      <c r="H100" s="61" t="s">
        <v>77</v>
      </c>
      <c r="I100" s="70" t="s">
        <v>235</v>
      </c>
      <c r="J100" s="70" t="s">
        <v>252</v>
      </c>
      <c r="K100" s="70" t="s">
        <v>100</v>
      </c>
      <c r="L100" s="72" t="s">
        <v>113</v>
      </c>
      <c r="M100" s="73" t="s">
        <v>102</v>
      </c>
      <c r="N100" s="80" t="s">
        <v>103</v>
      </c>
      <c r="O100" s="61"/>
      <c r="P100" s="70" t="s">
        <v>100</v>
      </c>
      <c r="Q100" s="71">
        <f>VLOOKUP(E100,Sheet1!A:C,2,0)</f>
        <v>39.99</v>
      </c>
      <c r="R100" s="71">
        <f>VLOOKUP(E100,Sheet1!A:C,3,0)</f>
        <v>19.99</v>
      </c>
      <c r="S100" s="71">
        <f t="shared" si="10"/>
        <v>19.99</v>
      </c>
      <c r="T100" s="71">
        <f t="shared" si="9"/>
        <v>19.99</v>
      </c>
      <c r="U100" s="71">
        <f>VLOOKUP(E100,Sheet2!A:B,2,0)</f>
        <v>19.99</v>
      </c>
      <c r="V100" s="71">
        <f t="shared" si="11"/>
        <v>19.99</v>
      </c>
      <c r="W100" s="71">
        <v>5</v>
      </c>
      <c r="X100" s="71">
        <v>10</v>
      </c>
      <c r="Y100" s="71">
        <v>5</v>
      </c>
      <c r="Z100" s="70" t="s">
        <v>230</v>
      </c>
      <c r="AA100" s="61"/>
      <c r="AB100" s="61"/>
      <c r="AC100" s="61"/>
      <c r="AD100" s="61" t="s">
        <v>386</v>
      </c>
      <c r="AE100" s="61"/>
      <c r="AF100" s="61"/>
      <c r="AG100" s="61"/>
      <c r="AH100" s="61"/>
    </row>
    <row r="101" ht="28.5" spans="1:34">
      <c r="A101" s="61" t="s">
        <v>70</v>
      </c>
      <c r="B101" s="38" t="s">
        <v>95</v>
      </c>
      <c r="C101" s="69" t="s">
        <v>72</v>
      </c>
      <c r="D101" s="84" t="s">
        <v>387</v>
      </c>
      <c r="E101" s="37" t="s">
        <v>388</v>
      </c>
      <c r="F101" s="61" t="s">
        <v>75</v>
      </c>
      <c r="G101" s="61" t="s">
        <v>76</v>
      </c>
      <c r="H101" s="61" t="s">
        <v>77</v>
      </c>
      <c r="I101" s="70" t="s">
        <v>235</v>
      </c>
      <c r="J101" s="70" t="s">
        <v>99</v>
      </c>
      <c r="K101" s="70" t="s">
        <v>100</v>
      </c>
      <c r="L101" s="72" t="s">
        <v>113</v>
      </c>
      <c r="M101" s="73" t="s">
        <v>102</v>
      </c>
      <c r="N101" s="80" t="s">
        <v>103</v>
      </c>
      <c r="O101" s="61"/>
      <c r="P101" s="70" t="s">
        <v>100</v>
      </c>
      <c r="Q101" s="71">
        <f>VLOOKUP(E101,Sheet1!A:C,2,0)</f>
        <v>49.99</v>
      </c>
      <c r="R101" s="71">
        <f>VLOOKUP(E101,Sheet1!A:C,3,0)</f>
        <v>29.99</v>
      </c>
      <c r="S101" s="71">
        <f t="shared" si="10"/>
        <v>29.99</v>
      </c>
      <c r="T101" s="71">
        <f t="shared" si="9"/>
        <v>29.99</v>
      </c>
      <c r="U101" s="71">
        <f>VLOOKUP(E101,Sheet2!A:B,2,0)</f>
        <v>29.99</v>
      </c>
      <c r="V101" s="71">
        <f t="shared" si="11"/>
        <v>29.99</v>
      </c>
      <c r="W101" s="71">
        <v>5</v>
      </c>
      <c r="X101" s="71">
        <v>10</v>
      </c>
      <c r="Y101" s="71">
        <v>5</v>
      </c>
      <c r="Z101" s="70" t="s">
        <v>230</v>
      </c>
      <c r="AA101" s="61"/>
      <c r="AB101" s="61"/>
      <c r="AC101" s="61"/>
      <c r="AD101" s="61" t="s">
        <v>389</v>
      </c>
      <c r="AE101" s="61"/>
      <c r="AF101" s="61"/>
      <c r="AG101" s="61"/>
      <c r="AH101" s="61"/>
    </row>
    <row r="102" ht="28.5" spans="1:34">
      <c r="A102" s="61" t="s">
        <v>70</v>
      </c>
      <c r="B102" s="38" t="s">
        <v>95</v>
      </c>
      <c r="C102" s="69" t="s">
        <v>72</v>
      </c>
      <c r="D102" s="84" t="s">
        <v>390</v>
      </c>
      <c r="E102" s="37" t="s">
        <v>391</v>
      </c>
      <c r="F102" s="61" t="s">
        <v>227</v>
      </c>
      <c r="G102" s="61" t="s">
        <v>117</v>
      </c>
      <c r="H102" s="70" t="s">
        <v>118</v>
      </c>
      <c r="I102" s="70" t="s">
        <v>228</v>
      </c>
      <c r="J102" s="70" t="s">
        <v>252</v>
      </c>
      <c r="K102" s="70" t="s">
        <v>100</v>
      </c>
      <c r="L102" s="72" t="s">
        <v>113</v>
      </c>
      <c r="M102" s="73" t="s">
        <v>102</v>
      </c>
      <c r="N102" s="73" t="s">
        <v>113</v>
      </c>
      <c r="O102" s="61"/>
      <c r="P102" s="70" t="s">
        <v>100</v>
      </c>
      <c r="Q102" s="71">
        <f>VLOOKUP(E102,Sheet1!A:C,2,0)</f>
        <v>29.99</v>
      </c>
      <c r="R102" s="71">
        <f>VLOOKUP(E102,Sheet1!A:C,3,0)</f>
        <v>16.99</v>
      </c>
      <c r="S102" s="71">
        <f t="shared" si="10"/>
        <v>16.99</v>
      </c>
      <c r="T102" s="71">
        <f t="shared" si="9"/>
        <v>16.99</v>
      </c>
      <c r="U102" s="71">
        <f>VLOOKUP(E102,Sheet2!A:B,2,0)</f>
        <v>14.99</v>
      </c>
      <c r="V102" s="71">
        <f t="shared" si="11"/>
        <v>14.99</v>
      </c>
      <c r="W102" s="71">
        <v>5</v>
      </c>
      <c r="X102" s="71">
        <v>10</v>
      </c>
      <c r="Y102" s="71">
        <v>5</v>
      </c>
      <c r="Z102" s="70" t="s">
        <v>230</v>
      </c>
      <c r="AA102" s="61"/>
      <c r="AB102" s="61"/>
      <c r="AC102" s="61"/>
      <c r="AD102" s="61" t="s">
        <v>392</v>
      </c>
      <c r="AE102" s="61"/>
      <c r="AF102" s="61"/>
      <c r="AG102" s="61"/>
      <c r="AH102" s="61"/>
    </row>
    <row r="103" ht="57" spans="1:34">
      <c r="A103" s="61" t="s">
        <v>70</v>
      </c>
      <c r="B103" s="38" t="s">
        <v>95</v>
      </c>
      <c r="C103" s="69" t="s">
        <v>72</v>
      </c>
      <c r="D103" s="84" t="s">
        <v>393</v>
      </c>
      <c r="E103" s="38" t="s">
        <v>128</v>
      </c>
      <c r="F103" s="70" t="s">
        <v>158</v>
      </c>
      <c r="G103" s="61" t="s">
        <v>159</v>
      </c>
      <c r="H103" s="70" t="s">
        <v>118</v>
      </c>
      <c r="I103" s="70" t="s">
        <v>160</v>
      </c>
      <c r="J103" s="70" t="s">
        <v>394</v>
      </c>
      <c r="K103" s="70" t="s">
        <v>100</v>
      </c>
      <c r="L103" s="72" t="s">
        <v>113</v>
      </c>
      <c r="M103" s="73" t="s">
        <v>102</v>
      </c>
      <c r="N103" s="73" t="s">
        <v>113</v>
      </c>
      <c r="O103" s="61"/>
      <c r="P103" s="70" t="s">
        <v>100</v>
      </c>
      <c r="Q103" s="71">
        <f>VLOOKUP(E103,Sheet1!A:C,2,0)</f>
        <v>99.99</v>
      </c>
      <c r="R103" s="71" t="str">
        <f>VLOOKUP(E103,Sheet1!A:C,3,0)</f>
        <v>AL-W0169/53.99
AL-W0150/53.99
AL-W0190B/53.99
AL-W0161/56.99</v>
      </c>
      <c r="S103" s="71" t="str">
        <f t="shared" si="10"/>
        <v>AL-W0169/53.99
AL-W0150/53.99
AL-W0190B/53.99
AL-W0161/56.99</v>
      </c>
      <c r="T103" s="71" t="str">
        <f t="shared" ref="T103:T135" si="12">S103</f>
        <v>AL-W0169/53.99
AL-W0150/53.99
AL-W0190B/53.99
AL-W0161/56.99</v>
      </c>
      <c r="U103" s="71">
        <v>56.99</v>
      </c>
      <c r="V103" s="71">
        <f t="shared" si="11"/>
        <v>56.99</v>
      </c>
      <c r="W103" s="71">
        <v>5</v>
      </c>
      <c r="X103" s="71">
        <v>10</v>
      </c>
      <c r="Y103" s="71">
        <v>5</v>
      </c>
      <c r="Z103" s="70" t="s">
        <v>86</v>
      </c>
      <c r="AA103" s="61" t="s">
        <v>87</v>
      </c>
      <c r="AB103" s="70" t="s">
        <v>131</v>
      </c>
      <c r="AC103" s="61"/>
      <c r="AD103" s="61" t="s">
        <v>395</v>
      </c>
      <c r="AE103" s="61"/>
      <c r="AF103" s="61"/>
      <c r="AG103" s="61"/>
      <c r="AH103" s="61"/>
    </row>
    <row r="104" ht="28.5" spans="1:34">
      <c r="A104" s="61" t="s">
        <v>70</v>
      </c>
      <c r="B104" s="38" t="s">
        <v>95</v>
      </c>
      <c r="C104" s="69" t="s">
        <v>72</v>
      </c>
      <c r="D104" s="84" t="s">
        <v>396</v>
      </c>
      <c r="E104" s="44" t="s">
        <v>397</v>
      </c>
      <c r="F104" s="70" t="s">
        <v>227</v>
      </c>
      <c r="G104" s="61" t="s">
        <v>117</v>
      </c>
      <c r="H104" s="70" t="s">
        <v>118</v>
      </c>
      <c r="I104" s="70" t="s">
        <v>228</v>
      </c>
      <c r="J104" s="70" t="s">
        <v>229</v>
      </c>
      <c r="K104" s="70" t="s">
        <v>100</v>
      </c>
      <c r="L104" s="72" t="s">
        <v>113</v>
      </c>
      <c r="M104" s="73" t="s">
        <v>102</v>
      </c>
      <c r="N104" s="73" t="s">
        <v>113</v>
      </c>
      <c r="O104" s="61"/>
      <c r="P104" s="70" t="s">
        <v>100</v>
      </c>
      <c r="Q104" s="71">
        <f>VLOOKUP(E104,Sheet1!A:C,2,0)</f>
        <v>59.99</v>
      </c>
      <c r="R104" s="71">
        <f>VLOOKUP(E104,Sheet1!A:C,3,0)</f>
        <v>35.99</v>
      </c>
      <c r="S104" s="71">
        <f t="shared" si="10"/>
        <v>35.99</v>
      </c>
      <c r="T104" s="71">
        <f t="shared" si="12"/>
        <v>35.99</v>
      </c>
      <c r="U104" s="71">
        <f>VLOOKUP(E104,Sheet2!A:B,2,0)</f>
        <v>35.99</v>
      </c>
      <c r="V104" s="71">
        <f t="shared" si="11"/>
        <v>35.99</v>
      </c>
      <c r="W104" s="71">
        <v>5</v>
      </c>
      <c r="X104" s="71">
        <v>10</v>
      </c>
      <c r="Y104" s="71">
        <v>5</v>
      </c>
      <c r="Z104" s="70" t="s">
        <v>230</v>
      </c>
      <c r="AA104" s="61"/>
      <c r="AB104" s="61"/>
      <c r="AC104" s="61"/>
      <c r="AD104" s="61" t="s">
        <v>398</v>
      </c>
      <c r="AE104" s="61"/>
      <c r="AF104" s="61"/>
      <c r="AG104" s="61"/>
      <c r="AH104" s="61"/>
    </row>
    <row r="105" ht="28.5" spans="1:34">
      <c r="A105" s="61" t="s">
        <v>70</v>
      </c>
      <c r="B105" s="38" t="s">
        <v>95</v>
      </c>
      <c r="C105" s="69" t="s">
        <v>72</v>
      </c>
      <c r="D105" s="84" t="s">
        <v>399</v>
      </c>
      <c r="E105" s="32" t="s">
        <v>400</v>
      </c>
      <c r="F105" s="70" t="s">
        <v>227</v>
      </c>
      <c r="G105" s="61" t="s">
        <v>117</v>
      </c>
      <c r="H105" s="70" t="s">
        <v>118</v>
      </c>
      <c r="I105" s="70" t="s">
        <v>228</v>
      </c>
      <c r="J105" s="70" t="s">
        <v>229</v>
      </c>
      <c r="K105" s="70" t="s">
        <v>100</v>
      </c>
      <c r="L105" s="72" t="s">
        <v>113</v>
      </c>
      <c r="M105" s="73" t="s">
        <v>102</v>
      </c>
      <c r="N105" s="73" t="s">
        <v>113</v>
      </c>
      <c r="O105" s="61"/>
      <c r="P105" s="70" t="s">
        <v>100</v>
      </c>
      <c r="Q105" s="71">
        <f>VLOOKUP(E105,Sheet1!A:C,2,0)</f>
        <v>69.99</v>
      </c>
      <c r="R105" s="71">
        <f>VLOOKUP(E105,Sheet1!A:C,3,0)</f>
        <v>39.99</v>
      </c>
      <c r="S105" s="71">
        <f t="shared" si="10"/>
        <v>39.99</v>
      </c>
      <c r="T105" s="71">
        <f t="shared" si="12"/>
        <v>39.99</v>
      </c>
      <c r="U105" s="71">
        <f>VLOOKUP(E105,Sheet2!A:B,2,0)</f>
        <v>39.99</v>
      </c>
      <c r="V105" s="71">
        <f t="shared" si="11"/>
        <v>39.99</v>
      </c>
      <c r="W105" s="71">
        <v>5</v>
      </c>
      <c r="X105" s="71">
        <v>10</v>
      </c>
      <c r="Y105" s="71">
        <v>5</v>
      </c>
      <c r="Z105" s="70" t="s">
        <v>230</v>
      </c>
      <c r="AA105" s="61"/>
      <c r="AB105" s="61"/>
      <c r="AC105" s="61"/>
      <c r="AD105" s="61" t="s">
        <v>401</v>
      </c>
      <c r="AE105" s="61"/>
      <c r="AF105" s="61"/>
      <c r="AG105" s="61"/>
      <c r="AH105" s="61"/>
    </row>
    <row r="106" ht="28.5" spans="1:34">
      <c r="A106" s="61" t="s">
        <v>70</v>
      </c>
      <c r="B106" s="38" t="s">
        <v>95</v>
      </c>
      <c r="C106" s="69" t="s">
        <v>72</v>
      </c>
      <c r="D106" s="84" t="s">
        <v>402</v>
      </c>
      <c r="E106" s="32" t="s">
        <v>403</v>
      </c>
      <c r="F106" s="70" t="s">
        <v>227</v>
      </c>
      <c r="G106" s="61" t="s">
        <v>117</v>
      </c>
      <c r="H106" s="70" t="s">
        <v>118</v>
      </c>
      <c r="I106" s="70" t="s">
        <v>228</v>
      </c>
      <c r="J106" s="70" t="s">
        <v>229</v>
      </c>
      <c r="K106" s="70" t="s">
        <v>100</v>
      </c>
      <c r="L106" s="72" t="s">
        <v>113</v>
      </c>
      <c r="M106" s="73" t="s">
        <v>102</v>
      </c>
      <c r="N106" s="73" t="s">
        <v>113</v>
      </c>
      <c r="O106" s="61"/>
      <c r="P106" s="70" t="s">
        <v>100</v>
      </c>
      <c r="Q106" s="71">
        <f>VLOOKUP(E106,Sheet1!A:C,2,0)</f>
        <v>69.99</v>
      </c>
      <c r="R106" s="71">
        <f>VLOOKUP(E106,Sheet1!A:C,3,0)</f>
        <v>39.99</v>
      </c>
      <c r="S106" s="71">
        <f t="shared" si="10"/>
        <v>39.99</v>
      </c>
      <c r="T106" s="71">
        <f t="shared" si="12"/>
        <v>39.99</v>
      </c>
      <c r="U106" s="71">
        <f>VLOOKUP(E106,Sheet2!A:B,2,0)</f>
        <v>39.99</v>
      </c>
      <c r="V106" s="71">
        <f t="shared" si="11"/>
        <v>39.99</v>
      </c>
      <c r="W106" s="71">
        <v>5</v>
      </c>
      <c r="X106" s="71">
        <v>10</v>
      </c>
      <c r="Y106" s="71">
        <v>5</v>
      </c>
      <c r="Z106" s="70" t="s">
        <v>230</v>
      </c>
      <c r="AA106" s="61"/>
      <c r="AB106" s="61"/>
      <c r="AC106" s="61"/>
      <c r="AD106" s="61" t="s">
        <v>404</v>
      </c>
      <c r="AE106" s="61"/>
      <c r="AF106" s="61"/>
      <c r="AG106" s="61"/>
      <c r="AH106" s="61"/>
    </row>
    <row r="107" ht="28.5" spans="1:34">
      <c r="A107" s="61" t="s">
        <v>70</v>
      </c>
      <c r="B107" s="38" t="s">
        <v>95</v>
      </c>
      <c r="C107" s="69" t="s">
        <v>72</v>
      </c>
      <c r="D107" s="84" t="s">
        <v>405</v>
      </c>
      <c r="E107" s="48" t="s">
        <v>406</v>
      </c>
      <c r="F107" s="70" t="s">
        <v>227</v>
      </c>
      <c r="G107" s="61" t="s">
        <v>117</v>
      </c>
      <c r="H107" s="70" t="s">
        <v>118</v>
      </c>
      <c r="I107" s="70" t="s">
        <v>228</v>
      </c>
      <c r="J107" s="70" t="s">
        <v>252</v>
      </c>
      <c r="K107" s="70" t="s">
        <v>100</v>
      </c>
      <c r="L107" s="72" t="s">
        <v>113</v>
      </c>
      <c r="M107" s="73" t="s">
        <v>102</v>
      </c>
      <c r="N107" s="73" t="s">
        <v>113</v>
      </c>
      <c r="O107" s="61"/>
      <c r="P107" s="70" t="s">
        <v>100</v>
      </c>
      <c r="Q107" s="71">
        <v>59.99</v>
      </c>
      <c r="R107" s="71">
        <v>32.99</v>
      </c>
      <c r="S107" s="71">
        <f t="shared" si="10"/>
        <v>32.99</v>
      </c>
      <c r="T107" s="71">
        <f t="shared" si="12"/>
        <v>32.99</v>
      </c>
      <c r="U107" s="71">
        <f>VLOOKUP(E107,Sheet2!A:B,2,0)</f>
        <v>32.99</v>
      </c>
      <c r="V107" s="71">
        <f t="shared" si="11"/>
        <v>32.99</v>
      </c>
      <c r="W107" s="71">
        <v>5</v>
      </c>
      <c r="X107" s="71">
        <v>10</v>
      </c>
      <c r="Y107" s="71">
        <v>5</v>
      </c>
      <c r="Z107" s="70" t="s">
        <v>230</v>
      </c>
      <c r="AA107" s="61"/>
      <c r="AB107" s="61"/>
      <c r="AC107" s="61"/>
      <c r="AD107" s="61" t="s">
        <v>407</v>
      </c>
      <c r="AE107" s="61"/>
      <c r="AF107" s="61"/>
      <c r="AG107" s="61"/>
      <c r="AH107" s="61"/>
    </row>
    <row r="108" ht="28.5" spans="1:34">
      <c r="A108" s="61" t="s">
        <v>70</v>
      </c>
      <c r="B108" s="38" t="s">
        <v>95</v>
      </c>
      <c r="C108" s="69" t="s">
        <v>72</v>
      </c>
      <c r="D108" s="84" t="s">
        <v>408</v>
      </c>
      <c r="E108" s="44" t="s">
        <v>409</v>
      </c>
      <c r="F108" s="70" t="s">
        <v>227</v>
      </c>
      <c r="G108" s="61" t="s">
        <v>117</v>
      </c>
      <c r="H108" s="70" t="s">
        <v>118</v>
      </c>
      <c r="I108" s="70" t="s">
        <v>228</v>
      </c>
      <c r="J108" s="70" t="s">
        <v>112</v>
      </c>
      <c r="K108" s="70" t="s">
        <v>100</v>
      </c>
      <c r="L108" s="72" t="s">
        <v>113</v>
      </c>
      <c r="M108" s="73" t="s">
        <v>102</v>
      </c>
      <c r="N108" s="73" t="s">
        <v>113</v>
      </c>
      <c r="O108" s="61"/>
      <c r="P108" s="70" t="s">
        <v>100</v>
      </c>
      <c r="Q108" s="71">
        <v>79.99</v>
      </c>
      <c r="R108" s="71">
        <v>42.99</v>
      </c>
      <c r="S108" s="71">
        <f t="shared" si="10"/>
        <v>42.99</v>
      </c>
      <c r="T108" s="71">
        <f t="shared" si="12"/>
        <v>42.99</v>
      </c>
      <c r="U108" s="71">
        <f>VLOOKUP(E108,Sheet2!A:B,2,0)</f>
        <v>39.99</v>
      </c>
      <c r="V108" s="71">
        <f t="shared" si="11"/>
        <v>39.99</v>
      </c>
      <c r="W108" s="71">
        <v>5</v>
      </c>
      <c r="X108" s="71">
        <v>10</v>
      </c>
      <c r="Y108" s="71">
        <v>5</v>
      </c>
      <c r="Z108" s="70" t="s">
        <v>230</v>
      </c>
      <c r="AA108" s="61"/>
      <c r="AB108" s="61"/>
      <c r="AC108" s="61"/>
      <c r="AD108" s="61" t="s">
        <v>410</v>
      </c>
      <c r="AE108" s="61"/>
      <c r="AF108" s="61"/>
      <c r="AG108" s="61"/>
      <c r="AH108" s="61"/>
    </row>
    <row r="109" ht="28.5" spans="1:34">
      <c r="A109" s="61" t="s">
        <v>70</v>
      </c>
      <c r="B109" s="38" t="s">
        <v>95</v>
      </c>
      <c r="C109" s="69" t="s">
        <v>72</v>
      </c>
      <c r="D109" s="84" t="s">
        <v>411</v>
      </c>
      <c r="E109" s="49" t="s">
        <v>412</v>
      </c>
      <c r="F109" s="70" t="s">
        <v>227</v>
      </c>
      <c r="G109" s="61" t="s">
        <v>117</v>
      </c>
      <c r="H109" s="70" t="s">
        <v>118</v>
      </c>
      <c r="I109" s="70" t="s">
        <v>228</v>
      </c>
      <c r="J109" s="70" t="s">
        <v>252</v>
      </c>
      <c r="K109" s="70" t="s">
        <v>100</v>
      </c>
      <c r="L109" s="72" t="s">
        <v>113</v>
      </c>
      <c r="M109" s="73" t="s">
        <v>102</v>
      </c>
      <c r="N109" s="80" t="s">
        <v>103</v>
      </c>
      <c r="O109" s="61"/>
      <c r="P109" s="70" t="s">
        <v>100</v>
      </c>
      <c r="Q109" s="71">
        <v>79.99</v>
      </c>
      <c r="R109" s="71">
        <f>VLOOKUP(E109,Sheet1!A:C,3,0)</f>
        <v>45.99</v>
      </c>
      <c r="S109" s="71">
        <f t="shared" si="10"/>
        <v>45.99</v>
      </c>
      <c r="T109" s="71">
        <f t="shared" si="12"/>
        <v>45.99</v>
      </c>
      <c r="U109" s="71"/>
      <c r="V109" s="71">
        <f t="shared" si="11"/>
        <v>0</v>
      </c>
      <c r="W109" s="71">
        <v>5</v>
      </c>
      <c r="X109" s="71">
        <v>10</v>
      </c>
      <c r="Y109" s="71">
        <v>5</v>
      </c>
      <c r="Z109" s="70" t="s">
        <v>230</v>
      </c>
      <c r="AA109" s="61"/>
      <c r="AB109" s="61"/>
      <c r="AC109" s="61"/>
      <c r="AD109" s="61" t="s">
        <v>413</v>
      </c>
      <c r="AE109" s="61"/>
      <c r="AF109" s="61"/>
      <c r="AG109" s="61"/>
      <c r="AH109" s="61"/>
    </row>
    <row r="110" ht="28.5" spans="1:34">
      <c r="A110" s="61" t="s">
        <v>70</v>
      </c>
      <c r="B110" s="38" t="s">
        <v>95</v>
      </c>
      <c r="C110" s="69" t="s">
        <v>72</v>
      </c>
      <c r="D110" s="84" t="s">
        <v>414</v>
      </c>
      <c r="E110" s="49" t="s">
        <v>415</v>
      </c>
      <c r="F110" s="70" t="s">
        <v>227</v>
      </c>
      <c r="G110" s="61" t="s">
        <v>117</v>
      </c>
      <c r="H110" s="70" t="s">
        <v>118</v>
      </c>
      <c r="I110" s="70" t="s">
        <v>228</v>
      </c>
      <c r="J110" s="70" t="s">
        <v>252</v>
      </c>
      <c r="K110" s="70" t="s">
        <v>100</v>
      </c>
      <c r="L110" s="72" t="s">
        <v>113</v>
      </c>
      <c r="M110" s="73" t="s">
        <v>102</v>
      </c>
      <c r="N110" s="80" t="s">
        <v>103</v>
      </c>
      <c r="O110" s="61"/>
      <c r="P110" s="70" t="s">
        <v>100</v>
      </c>
      <c r="Q110" s="71">
        <v>79.99</v>
      </c>
      <c r="R110" s="71">
        <f>VLOOKUP(E110,Sheet1!A:C,3,0)</f>
        <v>45.99</v>
      </c>
      <c r="S110" s="71">
        <f t="shared" si="10"/>
        <v>45.99</v>
      </c>
      <c r="T110" s="71">
        <f t="shared" si="12"/>
        <v>45.99</v>
      </c>
      <c r="U110" s="71"/>
      <c r="V110" s="71">
        <f t="shared" si="11"/>
        <v>0</v>
      </c>
      <c r="W110" s="71">
        <v>5</v>
      </c>
      <c r="X110" s="71">
        <v>10</v>
      </c>
      <c r="Y110" s="71">
        <v>5</v>
      </c>
      <c r="Z110" s="70" t="s">
        <v>230</v>
      </c>
      <c r="AA110" s="61"/>
      <c r="AB110" s="61"/>
      <c r="AC110" s="61"/>
      <c r="AD110" s="61" t="s">
        <v>416</v>
      </c>
      <c r="AE110" s="61"/>
      <c r="AF110" s="61"/>
      <c r="AG110" s="61"/>
      <c r="AH110" s="61"/>
    </row>
    <row r="111" ht="28.5" spans="1:34">
      <c r="A111" s="61" t="s">
        <v>70</v>
      </c>
      <c r="B111" s="38" t="s">
        <v>95</v>
      </c>
      <c r="C111" s="69" t="s">
        <v>72</v>
      </c>
      <c r="D111" s="84" t="s">
        <v>417</v>
      </c>
      <c r="E111" s="49" t="s">
        <v>418</v>
      </c>
      <c r="F111" s="61" t="s">
        <v>75</v>
      </c>
      <c r="G111" s="61" t="s">
        <v>76</v>
      </c>
      <c r="H111" s="61" t="s">
        <v>77</v>
      </c>
      <c r="I111" s="70" t="s">
        <v>235</v>
      </c>
      <c r="J111" s="70" t="s">
        <v>151</v>
      </c>
      <c r="K111" s="70" t="s">
        <v>100</v>
      </c>
      <c r="L111" s="72" t="s">
        <v>130</v>
      </c>
      <c r="M111" s="73" t="s">
        <v>102</v>
      </c>
      <c r="N111" s="80" t="s">
        <v>103</v>
      </c>
      <c r="O111" s="61"/>
      <c r="P111" s="70" t="s">
        <v>100</v>
      </c>
      <c r="Q111" s="71">
        <v>79.99</v>
      </c>
      <c r="R111" s="71">
        <f>VLOOKUP(E111,Sheet1!A:C,3,0)</f>
        <v>45.99</v>
      </c>
      <c r="S111" s="71">
        <f t="shared" si="10"/>
        <v>45.99</v>
      </c>
      <c r="T111" s="71">
        <f t="shared" si="12"/>
        <v>45.99</v>
      </c>
      <c r="U111" s="71"/>
      <c r="V111" s="71">
        <f t="shared" si="11"/>
        <v>0</v>
      </c>
      <c r="W111" s="71">
        <v>5</v>
      </c>
      <c r="X111" s="71">
        <v>10</v>
      </c>
      <c r="Y111" s="71">
        <v>5</v>
      </c>
      <c r="Z111" s="70" t="s">
        <v>230</v>
      </c>
      <c r="AA111" s="61"/>
      <c r="AB111" s="61"/>
      <c r="AC111" s="61"/>
      <c r="AD111" s="61" t="s">
        <v>419</v>
      </c>
      <c r="AE111" s="61"/>
      <c r="AF111" s="61"/>
      <c r="AG111" s="61"/>
      <c r="AH111" s="61"/>
    </row>
    <row r="112" ht="28.5" spans="1:34">
      <c r="A112" s="61" t="s">
        <v>70</v>
      </c>
      <c r="B112" s="38" t="s">
        <v>95</v>
      </c>
      <c r="C112" s="69" t="s">
        <v>72</v>
      </c>
      <c r="D112" s="84" t="s">
        <v>420</v>
      </c>
      <c r="E112" s="37" t="s">
        <v>421</v>
      </c>
      <c r="F112" s="70" t="s">
        <v>227</v>
      </c>
      <c r="G112" s="61" t="s">
        <v>117</v>
      </c>
      <c r="H112" s="70" t="s">
        <v>118</v>
      </c>
      <c r="I112" s="70" t="s">
        <v>228</v>
      </c>
      <c r="J112" s="70" t="s">
        <v>229</v>
      </c>
      <c r="K112" s="70" t="s">
        <v>100</v>
      </c>
      <c r="L112" s="72" t="s">
        <v>113</v>
      </c>
      <c r="M112" s="73" t="s">
        <v>102</v>
      </c>
      <c r="N112" s="78" t="s">
        <v>422</v>
      </c>
      <c r="O112" s="61"/>
      <c r="P112" s="70" t="s">
        <v>100</v>
      </c>
      <c r="Q112" s="71">
        <v>79.99</v>
      </c>
      <c r="R112" s="71">
        <f>VLOOKUP(E112,Sheet1!A:C,3,0)</f>
        <v>45.99</v>
      </c>
      <c r="S112" s="71">
        <f t="shared" si="10"/>
        <v>45.99</v>
      </c>
      <c r="T112" s="71">
        <f t="shared" si="12"/>
        <v>45.99</v>
      </c>
      <c r="U112" s="71"/>
      <c r="V112" s="71">
        <f t="shared" si="11"/>
        <v>0</v>
      </c>
      <c r="W112" s="71">
        <v>5</v>
      </c>
      <c r="X112" s="71">
        <v>10</v>
      </c>
      <c r="Y112" s="71">
        <v>5</v>
      </c>
      <c r="Z112" s="70" t="s">
        <v>230</v>
      </c>
      <c r="AA112" s="61"/>
      <c r="AB112" s="61"/>
      <c r="AC112" s="61"/>
      <c r="AD112" s="61" t="s">
        <v>423</v>
      </c>
      <c r="AE112" s="61"/>
      <c r="AF112" s="61"/>
      <c r="AG112" s="61"/>
      <c r="AH112" s="61"/>
    </row>
    <row r="113" ht="28.5" spans="1:34">
      <c r="A113" s="61" t="s">
        <v>70</v>
      </c>
      <c r="B113" s="38" t="s">
        <v>95</v>
      </c>
      <c r="C113" s="69" t="s">
        <v>72</v>
      </c>
      <c r="D113" s="84" t="s">
        <v>424</v>
      </c>
      <c r="E113" s="37" t="s">
        <v>425</v>
      </c>
      <c r="F113" s="70" t="s">
        <v>227</v>
      </c>
      <c r="G113" s="61" t="s">
        <v>117</v>
      </c>
      <c r="H113" s="70" t="s">
        <v>118</v>
      </c>
      <c r="I113" s="70" t="s">
        <v>228</v>
      </c>
      <c r="J113" s="70" t="s">
        <v>229</v>
      </c>
      <c r="K113" s="70" t="s">
        <v>100</v>
      </c>
      <c r="L113" s="72" t="s">
        <v>113</v>
      </c>
      <c r="M113" s="73" t="s">
        <v>102</v>
      </c>
      <c r="N113" s="78" t="s">
        <v>422</v>
      </c>
      <c r="O113" s="61"/>
      <c r="P113" s="70" t="s">
        <v>100</v>
      </c>
      <c r="Q113" s="71">
        <v>79.99</v>
      </c>
      <c r="R113" s="71">
        <f>VLOOKUP(E113,Sheet1!A:C,3,0)</f>
        <v>45.99</v>
      </c>
      <c r="S113" s="71">
        <f t="shared" si="10"/>
        <v>45.99</v>
      </c>
      <c r="T113" s="71">
        <f t="shared" si="12"/>
        <v>45.99</v>
      </c>
      <c r="U113" s="71"/>
      <c r="V113" s="71">
        <f t="shared" si="11"/>
        <v>0</v>
      </c>
      <c r="W113" s="71">
        <v>5</v>
      </c>
      <c r="X113" s="71">
        <v>10</v>
      </c>
      <c r="Y113" s="71">
        <v>5</v>
      </c>
      <c r="Z113" s="70" t="s">
        <v>230</v>
      </c>
      <c r="AA113" s="61"/>
      <c r="AB113" s="61"/>
      <c r="AC113" s="61"/>
      <c r="AD113" s="61" t="s">
        <v>426</v>
      </c>
      <c r="AE113" s="61"/>
      <c r="AF113" s="61"/>
      <c r="AG113" s="61"/>
      <c r="AH113" s="61"/>
    </row>
    <row r="114" ht="28.5" spans="1:34">
      <c r="A114" s="61" t="s">
        <v>70</v>
      </c>
      <c r="B114" s="38" t="s">
        <v>95</v>
      </c>
      <c r="C114" s="69" t="s">
        <v>72</v>
      </c>
      <c r="D114" s="84" t="s">
        <v>427</v>
      </c>
      <c r="E114" s="37" t="s">
        <v>428</v>
      </c>
      <c r="F114" s="70" t="s">
        <v>227</v>
      </c>
      <c r="G114" s="61" t="s">
        <v>117</v>
      </c>
      <c r="H114" s="70" t="s">
        <v>118</v>
      </c>
      <c r="I114" s="70" t="s">
        <v>228</v>
      </c>
      <c r="J114" s="70" t="s">
        <v>229</v>
      </c>
      <c r="K114" s="70" t="s">
        <v>100</v>
      </c>
      <c r="L114" s="72" t="s">
        <v>113</v>
      </c>
      <c r="M114" s="73" t="s">
        <v>102</v>
      </c>
      <c r="N114" s="78" t="s">
        <v>429</v>
      </c>
      <c r="O114" s="61"/>
      <c r="P114" s="70" t="s">
        <v>100</v>
      </c>
      <c r="Q114" s="71">
        <v>79.99</v>
      </c>
      <c r="R114" s="71">
        <f>VLOOKUP(E114,Sheet1!A:C,3,0)</f>
        <v>45.99</v>
      </c>
      <c r="S114" s="71">
        <f t="shared" si="10"/>
        <v>45.99</v>
      </c>
      <c r="T114" s="71">
        <f t="shared" si="12"/>
        <v>45.99</v>
      </c>
      <c r="U114" s="71"/>
      <c r="V114" s="71">
        <f t="shared" si="11"/>
        <v>0</v>
      </c>
      <c r="W114" s="71">
        <v>5</v>
      </c>
      <c r="X114" s="71">
        <v>10</v>
      </c>
      <c r="Y114" s="71">
        <v>5</v>
      </c>
      <c r="Z114" s="70" t="s">
        <v>230</v>
      </c>
      <c r="AA114" s="61"/>
      <c r="AB114" s="61"/>
      <c r="AC114" s="61"/>
      <c r="AD114" s="61" t="s">
        <v>430</v>
      </c>
      <c r="AE114" s="61"/>
      <c r="AF114" s="61"/>
      <c r="AG114" s="61"/>
      <c r="AH114" s="61"/>
    </row>
    <row r="115" ht="28.5" spans="1:34">
      <c r="A115" s="61" t="s">
        <v>70</v>
      </c>
      <c r="B115" s="38" t="s">
        <v>95</v>
      </c>
      <c r="C115" s="69" t="s">
        <v>72</v>
      </c>
      <c r="D115" s="84" t="s">
        <v>431</v>
      </c>
      <c r="E115" s="37" t="s">
        <v>432</v>
      </c>
      <c r="F115" s="70" t="s">
        <v>227</v>
      </c>
      <c r="G115" s="61" t="s">
        <v>117</v>
      </c>
      <c r="H115" s="70" t="s">
        <v>118</v>
      </c>
      <c r="I115" s="70" t="s">
        <v>228</v>
      </c>
      <c r="J115" s="70" t="s">
        <v>229</v>
      </c>
      <c r="K115" s="70" t="s">
        <v>100</v>
      </c>
      <c r="L115" s="72" t="s">
        <v>113</v>
      </c>
      <c r="M115" s="73" t="s">
        <v>102</v>
      </c>
      <c r="N115" s="78" t="s">
        <v>429</v>
      </c>
      <c r="O115" s="61"/>
      <c r="P115" s="70" t="s">
        <v>100</v>
      </c>
      <c r="Q115" s="71">
        <v>109.99</v>
      </c>
      <c r="R115" s="71">
        <f>VLOOKUP(E115,Sheet1!A:C,3,0)</f>
        <v>65.99</v>
      </c>
      <c r="S115" s="71">
        <f t="shared" si="10"/>
        <v>65.99</v>
      </c>
      <c r="T115" s="71">
        <f t="shared" si="12"/>
        <v>65.99</v>
      </c>
      <c r="U115" s="71"/>
      <c r="V115" s="71">
        <f t="shared" si="11"/>
        <v>0</v>
      </c>
      <c r="W115" s="71">
        <v>5</v>
      </c>
      <c r="X115" s="71">
        <v>10</v>
      </c>
      <c r="Y115" s="71">
        <v>5</v>
      </c>
      <c r="Z115" s="70" t="s">
        <v>230</v>
      </c>
      <c r="AA115" s="61"/>
      <c r="AB115" s="61"/>
      <c r="AC115" s="61"/>
      <c r="AD115" s="61" t="s">
        <v>433</v>
      </c>
      <c r="AE115" s="61"/>
      <c r="AF115" s="61"/>
      <c r="AG115" s="61"/>
      <c r="AH115" s="61"/>
    </row>
    <row r="116" ht="28.5" spans="1:34">
      <c r="A116" s="61" t="s">
        <v>70</v>
      </c>
      <c r="B116" s="38" t="s">
        <v>95</v>
      </c>
      <c r="C116" s="69" t="s">
        <v>72</v>
      </c>
      <c r="D116" s="84" t="s">
        <v>434</v>
      </c>
      <c r="E116" s="37" t="s">
        <v>435</v>
      </c>
      <c r="F116" s="70" t="s">
        <v>227</v>
      </c>
      <c r="G116" s="61" t="s">
        <v>117</v>
      </c>
      <c r="H116" s="70" t="s">
        <v>118</v>
      </c>
      <c r="I116" s="70" t="s">
        <v>228</v>
      </c>
      <c r="J116" s="70" t="s">
        <v>229</v>
      </c>
      <c r="K116" s="70" t="s">
        <v>100</v>
      </c>
      <c r="L116" s="72" t="s">
        <v>113</v>
      </c>
      <c r="M116" s="73" t="s">
        <v>102</v>
      </c>
      <c r="N116" s="78" t="s">
        <v>436</v>
      </c>
      <c r="O116" s="61"/>
      <c r="P116" s="70" t="s">
        <v>100</v>
      </c>
      <c r="Q116" s="71">
        <v>129.99</v>
      </c>
      <c r="R116" s="71">
        <f>VLOOKUP(E116,Sheet1!A:C,3,0)</f>
        <v>75.99</v>
      </c>
      <c r="S116" s="71">
        <f t="shared" si="10"/>
        <v>75.99</v>
      </c>
      <c r="T116" s="71">
        <f t="shared" si="12"/>
        <v>75.99</v>
      </c>
      <c r="U116" s="71"/>
      <c r="V116" s="71">
        <f t="shared" si="11"/>
        <v>0</v>
      </c>
      <c r="W116" s="71">
        <v>5</v>
      </c>
      <c r="X116" s="71">
        <v>10</v>
      </c>
      <c r="Y116" s="71">
        <v>5</v>
      </c>
      <c r="Z116" s="70" t="s">
        <v>230</v>
      </c>
      <c r="AA116" s="61"/>
      <c r="AB116" s="61"/>
      <c r="AC116" s="61"/>
      <c r="AD116" s="61" t="s">
        <v>437</v>
      </c>
      <c r="AE116" s="61"/>
      <c r="AF116" s="61"/>
      <c r="AG116" s="61"/>
      <c r="AH116" s="61"/>
    </row>
    <row r="117" ht="28.5" spans="1:34">
      <c r="A117" s="61" t="s">
        <v>70</v>
      </c>
      <c r="B117" s="38" t="s">
        <v>95</v>
      </c>
      <c r="C117" s="69" t="s">
        <v>72</v>
      </c>
      <c r="D117" s="84" t="s">
        <v>438</v>
      </c>
      <c r="E117" s="37" t="s">
        <v>439</v>
      </c>
      <c r="F117" s="70" t="s">
        <v>227</v>
      </c>
      <c r="G117" s="61" t="s">
        <v>117</v>
      </c>
      <c r="H117" s="70" t="s">
        <v>118</v>
      </c>
      <c r="I117" s="70" t="s">
        <v>228</v>
      </c>
      <c r="J117" s="70" t="s">
        <v>229</v>
      </c>
      <c r="K117" s="70" t="s">
        <v>100</v>
      </c>
      <c r="L117" s="72" t="s">
        <v>113</v>
      </c>
      <c r="M117" s="73" t="s">
        <v>102</v>
      </c>
      <c r="N117" s="78" t="s">
        <v>440</v>
      </c>
      <c r="O117" s="61"/>
      <c r="P117" s="70" t="s">
        <v>100</v>
      </c>
      <c r="Q117" s="71">
        <v>99.99</v>
      </c>
      <c r="R117" s="71">
        <f>VLOOKUP(E117,Sheet1!A:C,3,0)</f>
        <v>59.99</v>
      </c>
      <c r="S117" s="71">
        <f t="shared" si="10"/>
        <v>59.99</v>
      </c>
      <c r="T117" s="71">
        <f t="shared" si="12"/>
        <v>59.99</v>
      </c>
      <c r="U117" s="71"/>
      <c r="V117" s="71">
        <f t="shared" si="11"/>
        <v>0</v>
      </c>
      <c r="W117" s="71">
        <v>5</v>
      </c>
      <c r="X117" s="71">
        <v>10</v>
      </c>
      <c r="Y117" s="71">
        <v>5</v>
      </c>
      <c r="Z117" s="70" t="s">
        <v>230</v>
      </c>
      <c r="AA117" s="61"/>
      <c r="AB117" s="61"/>
      <c r="AC117" s="61"/>
      <c r="AD117" s="61" t="s">
        <v>441</v>
      </c>
      <c r="AE117" s="61"/>
      <c r="AF117" s="61"/>
      <c r="AG117" s="61"/>
      <c r="AH117" s="61"/>
    </row>
    <row r="118" ht="28.5" spans="1:34">
      <c r="A118" s="61" t="s">
        <v>70</v>
      </c>
      <c r="B118" s="38" t="s">
        <v>95</v>
      </c>
      <c r="C118" s="69" t="s">
        <v>72</v>
      </c>
      <c r="D118" s="84" t="s">
        <v>442</v>
      </c>
      <c r="E118" s="37" t="s">
        <v>443</v>
      </c>
      <c r="F118" s="70" t="s">
        <v>227</v>
      </c>
      <c r="G118" s="61" t="s">
        <v>117</v>
      </c>
      <c r="H118" s="70" t="s">
        <v>118</v>
      </c>
      <c r="I118" s="70" t="s">
        <v>228</v>
      </c>
      <c r="J118" s="70" t="s">
        <v>229</v>
      </c>
      <c r="K118" s="70" t="s">
        <v>100</v>
      </c>
      <c r="L118" s="72" t="s">
        <v>113</v>
      </c>
      <c r="M118" s="73" t="s">
        <v>102</v>
      </c>
      <c r="N118" s="78" t="s">
        <v>440</v>
      </c>
      <c r="O118" s="61"/>
      <c r="P118" s="70" t="s">
        <v>100</v>
      </c>
      <c r="Q118" s="71">
        <v>99.99</v>
      </c>
      <c r="R118" s="71">
        <f>VLOOKUP(E118,Sheet1!A:C,3,0)</f>
        <v>56.99</v>
      </c>
      <c r="S118" s="71">
        <f t="shared" si="10"/>
        <v>56.99</v>
      </c>
      <c r="T118" s="71">
        <f t="shared" si="12"/>
        <v>56.99</v>
      </c>
      <c r="U118" s="71"/>
      <c r="V118" s="71">
        <f t="shared" si="11"/>
        <v>0</v>
      </c>
      <c r="W118" s="71">
        <v>5</v>
      </c>
      <c r="X118" s="71">
        <v>10</v>
      </c>
      <c r="Y118" s="71">
        <v>5</v>
      </c>
      <c r="Z118" s="70" t="s">
        <v>230</v>
      </c>
      <c r="AA118" s="61"/>
      <c r="AB118" s="61"/>
      <c r="AC118" s="61"/>
      <c r="AD118" s="61" t="s">
        <v>444</v>
      </c>
      <c r="AE118" s="61"/>
      <c r="AF118" s="61"/>
      <c r="AG118" s="61"/>
      <c r="AH118" s="61"/>
    </row>
    <row r="119" ht="28.5" spans="1:34">
      <c r="A119" s="61" t="s">
        <v>70</v>
      </c>
      <c r="B119" s="38" t="s">
        <v>95</v>
      </c>
      <c r="C119" s="69" t="s">
        <v>72</v>
      </c>
      <c r="D119" s="84" t="s">
        <v>445</v>
      </c>
      <c r="E119" s="37" t="s">
        <v>446</v>
      </c>
      <c r="F119" s="70" t="s">
        <v>227</v>
      </c>
      <c r="G119" s="61" t="s">
        <v>117</v>
      </c>
      <c r="H119" s="70" t="s">
        <v>118</v>
      </c>
      <c r="I119" s="70" t="s">
        <v>228</v>
      </c>
      <c r="J119" s="70" t="s">
        <v>229</v>
      </c>
      <c r="K119" s="70" t="s">
        <v>100</v>
      </c>
      <c r="L119" s="72" t="s">
        <v>113</v>
      </c>
      <c r="M119" s="73" t="s">
        <v>102</v>
      </c>
      <c r="N119" s="78" t="s">
        <v>447</v>
      </c>
      <c r="O119" s="61"/>
      <c r="P119" s="70" t="s">
        <v>100</v>
      </c>
      <c r="Q119" s="71">
        <v>109.99</v>
      </c>
      <c r="R119" s="71">
        <f>VLOOKUP(E119,Sheet1!A:C,3,0)</f>
        <v>65.99</v>
      </c>
      <c r="S119" s="71">
        <f t="shared" si="10"/>
        <v>65.99</v>
      </c>
      <c r="T119" s="71">
        <f t="shared" si="12"/>
        <v>65.99</v>
      </c>
      <c r="U119" s="71"/>
      <c r="V119" s="71">
        <f t="shared" si="11"/>
        <v>0</v>
      </c>
      <c r="W119" s="71">
        <v>5</v>
      </c>
      <c r="X119" s="71">
        <v>10</v>
      </c>
      <c r="Y119" s="71">
        <v>5</v>
      </c>
      <c r="Z119" s="70" t="s">
        <v>230</v>
      </c>
      <c r="AA119" s="61"/>
      <c r="AB119" s="61"/>
      <c r="AC119" s="61"/>
      <c r="AD119" s="61" t="s">
        <v>448</v>
      </c>
      <c r="AE119" s="61"/>
      <c r="AF119" s="61"/>
      <c r="AG119" s="61"/>
      <c r="AH119" s="61"/>
    </row>
    <row r="120" ht="28.5" spans="1:34">
      <c r="A120" s="61" t="s">
        <v>70</v>
      </c>
      <c r="B120" s="38" t="s">
        <v>95</v>
      </c>
      <c r="C120" s="69" t="s">
        <v>72</v>
      </c>
      <c r="D120" s="84" t="s">
        <v>449</v>
      </c>
      <c r="E120" s="37" t="s">
        <v>450</v>
      </c>
      <c r="F120" s="70" t="s">
        <v>227</v>
      </c>
      <c r="G120" s="61" t="s">
        <v>117</v>
      </c>
      <c r="H120" s="70" t="s">
        <v>118</v>
      </c>
      <c r="I120" s="70" t="s">
        <v>228</v>
      </c>
      <c r="J120" s="70" t="s">
        <v>229</v>
      </c>
      <c r="K120" s="70" t="s">
        <v>100</v>
      </c>
      <c r="L120" s="72" t="s">
        <v>113</v>
      </c>
      <c r="M120" s="73" t="s">
        <v>102</v>
      </c>
      <c r="N120" s="78" t="s">
        <v>447</v>
      </c>
      <c r="O120" s="61"/>
      <c r="P120" s="70" t="s">
        <v>100</v>
      </c>
      <c r="Q120" s="71">
        <v>79.99</v>
      </c>
      <c r="R120" s="71">
        <f>VLOOKUP(E120,Sheet1!A:C,3,0)</f>
        <v>45.99</v>
      </c>
      <c r="S120" s="71">
        <f t="shared" si="10"/>
        <v>45.99</v>
      </c>
      <c r="T120" s="71">
        <f t="shared" si="12"/>
        <v>45.99</v>
      </c>
      <c r="U120" s="71"/>
      <c r="V120" s="71">
        <f t="shared" si="11"/>
        <v>0</v>
      </c>
      <c r="W120" s="71">
        <v>5</v>
      </c>
      <c r="X120" s="71">
        <v>10</v>
      </c>
      <c r="Y120" s="71">
        <v>5</v>
      </c>
      <c r="Z120" s="70" t="s">
        <v>230</v>
      </c>
      <c r="AA120" s="61"/>
      <c r="AB120" s="61"/>
      <c r="AC120" s="61"/>
      <c r="AD120" s="61" t="s">
        <v>451</v>
      </c>
      <c r="AE120" s="61"/>
      <c r="AF120" s="61"/>
      <c r="AG120" s="61"/>
      <c r="AH120" s="61"/>
    </row>
    <row r="121" ht="28.5" spans="1:34">
      <c r="A121" s="61" t="s">
        <v>70</v>
      </c>
      <c r="B121" s="38" t="s">
        <v>95</v>
      </c>
      <c r="C121" s="69" t="s">
        <v>72</v>
      </c>
      <c r="D121" s="84" t="s">
        <v>452</v>
      </c>
      <c r="E121" s="37" t="s">
        <v>453</v>
      </c>
      <c r="F121" s="70" t="s">
        <v>227</v>
      </c>
      <c r="G121" s="61" t="s">
        <v>117</v>
      </c>
      <c r="H121" s="70" t="s">
        <v>118</v>
      </c>
      <c r="I121" s="70" t="s">
        <v>228</v>
      </c>
      <c r="J121" s="70" t="s">
        <v>229</v>
      </c>
      <c r="K121" s="70" t="s">
        <v>100</v>
      </c>
      <c r="L121" s="72" t="s">
        <v>113</v>
      </c>
      <c r="M121" s="73" t="s">
        <v>102</v>
      </c>
      <c r="N121" s="78" t="s">
        <v>454</v>
      </c>
      <c r="O121" s="61"/>
      <c r="P121" s="70" t="s">
        <v>100</v>
      </c>
      <c r="Q121" s="71">
        <v>89.99</v>
      </c>
      <c r="R121" s="71">
        <f>VLOOKUP(E121,Sheet1!A:C,3,0)</f>
        <v>49.99</v>
      </c>
      <c r="S121" s="71">
        <f>R121</f>
        <v>49.99</v>
      </c>
      <c r="T121" s="71">
        <f t="shared" si="12"/>
        <v>49.99</v>
      </c>
      <c r="U121" s="71"/>
      <c r="V121" s="71">
        <f>U121</f>
        <v>0</v>
      </c>
      <c r="W121" s="71">
        <v>5</v>
      </c>
      <c r="X121" s="71">
        <v>10</v>
      </c>
      <c r="Y121" s="71">
        <v>5</v>
      </c>
      <c r="Z121" s="70" t="s">
        <v>230</v>
      </c>
      <c r="AA121" s="61"/>
      <c r="AB121" s="61"/>
      <c r="AC121" s="61"/>
      <c r="AD121" s="61" t="s">
        <v>455</v>
      </c>
      <c r="AE121" s="61"/>
      <c r="AF121" s="61"/>
      <c r="AG121" s="61"/>
      <c r="AH121" s="61"/>
    </row>
    <row r="122" ht="28.5" spans="1:34">
      <c r="A122" s="61" t="s">
        <v>70</v>
      </c>
      <c r="B122" s="38" t="s">
        <v>95</v>
      </c>
      <c r="C122" s="69" t="s">
        <v>72</v>
      </c>
      <c r="D122" s="84" t="s">
        <v>456</v>
      </c>
      <c r="E122" s="37" t="s">
        <v>457</v>
      </c>
      <c r="F122" s="70" t="s">
        <v>227</v>
      </c>
      <c r="G122" s="61" t="s">
        <v>117</v>
      </c>
      <c r="H122" s="70" t="s">
        <v>118</v>
      </c>
      <c r="I122" s="70" t="s">
        <v>228</v>
      </c>
      <c r="J122" s="70" t="s">
        <v>229</v>
      </c>
      <c r="K122" s="70" t="s">
        <v>100</v>
      </c>
      <c r="L122" s="72" t="s">
        <v>113</v>
      </c>
      <c r="M122" s="73" t="s">
        <v>102</v>
      </c>
      <c r="N122" s="78" t="s">
        <v>436</v>
      </c>
      <c r="O122" s="61"/>
      <c r="P122" s="70" t="s">
        <v>100</v>
      </c>
      <c r="Q122" s="71">
        <v>99.99</v>
      </c>
      <c r="R122" s="71">
        <f>VLOOKUP(E122,Sheet1!A:C,3,0)</f>
        <v>56.99</v>
      </c>
      <c r="S122" s="71">
        <f>R122</f>
        <v>56.99</v>
      </c>
      <c r="T122" s="71">
        <f t="shared" si="12"/>
        <v>56.99</v>
      </c>
      <c r="U122" s="71"/>
      <c r="V122" s="71">
        <f>U122</f>
        <v>0</v>
      </c>
      <c r="W122" s="71">
        <v>5</v>
      </c>
      <c r="X122" s="71">
        <v>10</v>
      </c>
      <c r="Y122" s="71">
        <v>5</v>
      </c>
      <c r="Z122" s="70" t="s">
        <v>230</v>
      </c>
      <c r="AA122" s="61"/>
      <c r="AB122" s="61"/>
      <c r="AC122" s="61"/>
      <c r="AD122" s="61" t="s">
        <v>458</v>
      </c>
      <c r="AE122" s="61"/>
      <c r="AF122" s="61"/>
      <c r="AG122" s="61"/>
      <c r="AH122" s="61"/>
    </row>
    <row r="123" ht="28.5" spans="1:34">
      <c r="A123" s="61" t="s">
        <v>70</v>
      </c>
      <c r="B123" s="38" t="s">
        <v>95</v>
      </c>
      <c r="C123" s="69" t="s">
        <v>72</v>
      </c>
      <c r="D123" s="84" t="s">
        <v>459</v>
      </c>
      <c r="E123" s="39" t="s">
        <v>460</v>
      </c>
      <c r="F123" s="70" t="s">
        <v>227</v>
      </c>
      <c r="G123" s="61" t="s">
        <v>117</v>
      </c>
      <c r="H123" s="70" t="s">
        <v>118</v>
      </c>
      <c r="I123" s="70" t="s">
        <v>228</v>
      </c>
      <c r="J123" s="70" t="s">
        <v>252</v>
      </c>
      <c r="K123" s="70" t="s">
        <v>100</v>
      </c>
      <c r="L123" s="72" t="s">
        <v>113</v>
      </c>
      <c r="M123" s="73" t="s">
        <v>102</v>
      </c>
      <c r="N123" s="78" t="s">
        <v>461</v>
      </c>
      <c r="O123" s="61"/>
      <c r="P123" s="70" t="s">
        <v>100</v>
      </c>
      <c r="Q123" s="71">
        <v>39.99</v>
      </c>
      <c r="R123" s="71">
        <v>19.99</v>
      </c>
      <c r="S123" s="71">
        <f>R123</f>
        <v>19.99</v>
      </c>
      <c r="T123" s="71">
        <f t="shared" si="12"/>
        <v>19.99</v>
      </c>
      <c r="U123" s="71">
        <f>VLOOKUP(E123,Sheet2!A:B,2,0)</f>
        <v>14.99</v>
      </c>
      <c r="V123" s="71">
        <f>U123</f>
        <v>14.99</v>
      </c>
      <c r="W123" s="71">
        <v>5</v>
      </c>
      <c r="X123" s="71">
        <v>10</v>
      </c>
      <c r="Y123" s="71">
        <v>5</v>
      </c>
      <c r="Z123" s="70" t="s">
        <v>230</v>
      </c>
      <c r="AA123" s="61"/>
      <c r="AB123" s="61"/>
      <c r="AC123" s="61"/>
      <c r="AD123" s="61" t="s">
        <v>462</v>
      </c>
      <c r="AE123" s="61"/>
      <c r="AF123" s="61"/>
      <c r="AG123" s="61"/>
      <c r="AH123" s="61"/>
    </row>
    <row r="124" ht="28.5" spans="1:34">
      <c r="A124" s="61" t="s">
        <v>70</v>
      </c>
      <c r="B124" s="38" t="s">
        <v>95</v>
      </c>
      <c r="C124" s="69" t="s">
        <v>72</v>
      </c>
      <c r="D124" s="84" t="s">
        <v>463</v>
      </c>
      <c r="E124" s="39" t="s">
        <v>464</v>
      </c>
      <c r="F124" s="70" t="s">
        <v>227</v>
      </c>
      <c r="G124" s="61" t="s">
        <v>117</v>
      </c>
      <c r="H124" s="70" t="s">
        <v>118</v>
      </c>
      <c r="I124" s="70" t="s">
        <v>228</v>
      </c>
      <c r="J124" s="70" t="s">
        <v>229</v>
      </c>
      <c r="K124" s="70" t="s">
        <v>100</v>
      </c>
      <c r="L124" s="72" t="s">
        <v>113</v>
      </c>
      <c r="M124" s="73" t="s">
        <v>102</v>
      </c>
      <c r="N124" s="73" t="s">
        <v>113</v>
      </c>
      <c r="O124" s="61"/>
      <c r="P124" s="70" t="s">
        <v>100</v>
      </c>
      <c r="Q124" s="71">
        <v>49.99</v>
      </c>
      <c r="R124" s="71">
        <v>25.99</v>
      </c>
      <c r="S124" s="71">
        <f>R124</f>
        <v>25.99</v>
      </c>
      <c r="T124" s="71">
        <f t="shared" si="12"/>
        <v>25.99</v>
      </c>
      <c r="U124" s="71">
        <f>VLOOKUP(E124,Sheet2!A:B,2,0)</f>
        <v>19.99</v>
      </c>
      <c r="V124" s="71">
        <f>U124</f>
        <v>19.99</v>
      </c>
      <c r="W124" s="71">
        <v>5</v>
      </c>
      <c r="X124" s="71">
        <v>10</v>
      </c>
      <c r="Y124" s="71">
        <v>5</v>
      </c>
      <c r="Z124" s="70" t="s">
        <v>230</v>
      </c>
      <c r="AA124" s="61"/>
      <c r="AB124" s="61"/>
      <c r="AC124" s="61"/>
      <c r="AD124" s="61" t="s">
        <v>465</v>
      </c>
      <c r="AE124" s="61"/>
      <c r="AF124" s="61"/>
      <c r="AG124" s="61"/>
      <c r="AH124" s="61"/>
    </row>
    <row r="125" ht="28.5" spans="1:34">
      <c r="A125" s="61" t="s">
        <v>70</v>
      </c>
      <c r="B125" s="38" t="s">
        <v>95</v>
      </c>
      <c r="C125" s="69" t="s">
        <v>72</v>
      </c>
      <c r="D125" s="84" t="s">
        <v>405</v>
      </c>
      <c r="E125" s="48" t="s">
        <v>406</v>
      </c>
      <c r="F125" s="70" t="s">
        <v>227</v>
      </c>
      <c r="G125" s="61" t="s">
        <v>117</v>
      </c>
      <c r="H125" s="70" t="s">
        <v>118</v>
      </c>
      <c r="I125" s="70" t="s">
        <v>228</v>
      </c>
      <c r="J125" s="70" t="s">
        <v>252</v>
      </c>
      <c r="K125" s="70" t="s">
        <v>100</v>
      </c>
      <c r="L125" s="72" t="s">
        <v>113</v>
      </c>
      <c r="M125" s="73" t="s">
        <v>102</v>
      </c>
      <c r="N125" s="73" t="s">
        <v>113</v>
      </c>
      <c r="O125" s="61"/>
      <c r="P125" s="70" t="s">
        <v>100</v>
      </c>
      <c r="Q125" s="71">
        <v>59.99</v>
      </c>
      <c r="R125" s="71">
        <v>32.99</v>
      </c>
      <c r="S125" s="71">
        <f>R125</f>
        <v>32.99</v>
      </c>
      <c r="T125" s="71">
        <f t="shared" si="12"/>
        <v>32.99</v>
      </c>
      <c r="U125" s="71">
        <f>VLOOKUP(E125,Sheet2!A:B,2,0)</f>
        <v>32.99</v>
      </c>
      <c r="V125" s="71">
        <f>U125</f>
        <v>32.99</v>
      </c>
      <c r="W125" s="71">
        <v>5</v>
      </c>
      <c r="X125" s="71">
        <v>10</v>
      </c>
      <c r="Y125" s="71">
        <v>5</v>
      </c>
      <c r="Z125" s="70" t="s">
        <v>230</v>
      </c>
      <c r="AA125" s="61"/>
      <c r="AB125" s="61"/>
      <c r="AC125" s="61"/>
      <c r="AD125" s="61" t="s">
        <v>407</v>
      </c>
      <c r="AE125" s="61"/>
      <c r="AF125" s="61"/>
      <c r="AG125" s="61"/>
      <c r="AH125" s="61"/>
    </row>
    <row r="126" ht="28.5" spans="1:34">
      <c r="A126" s="61" t="s">
        <v>70</v>
      </c>
      <c r="B126" s="38" t="s">
        <v>95</v>
      </c>
      <c r="C126" s="69" t="s">
        <v>72</v>
      </c>
      <c r="D126" s="84" t="s">
        <v>466</v>
      </c>
      <c r="E126" s="37" t="s">
        <v>467</v>
      </c>
      <c r="F126" s="70" t="s">
        <v>227</v>
      </c>
      <c r="G126" s="61" t="s">
        <v>117</v>
      </c>
      <c r="H126" s="70" t="s">
        <v>118</v>
      </c>
      <c r="I126" s="70" t="s">
        <v>228</v>
      </c>
      <c r="J126" s="70" t="s">
        <v>252</v>
      </c>
      <c r="K126" s="70" t="s">
        <v>100</v>
      </c>
      <c r="L126" s="72" t="s">
        <v>113</v>
      </c>
      <c r="M126" s="73" t="s">
        <v>102</v>
      </c>
      <c r="N126" s="73" t="s">
        <v>113</v>
      </c>
      <c r="O126" s="61"/>
      <c r="P126" s="70" t="s">
        <v>100</v>
      </c>
      <c r="Q126" s="71">
        <v>99.99</v>
      </c>
      <c r="R126" s="71">
        <v>59.99</v>
      </c>
      <c r="S126" s="71">
        <f>R126</f>
        <v>59.99</v>
      </c>
      <c r="T126" s="71">
        <f t="shared" si="12"/>
        <v>59.99</v>
      </c>
      <c r="U126" s="71" t="str">
        <f>VLOOKUP(E126,Sheet2!A:B,2,0)</f>
        <v>/</v>
      </c>
      <c r="V126" s="71" t="str">
        <f>U126</f>
        <v>/</v>
      </c>
      <c r="W126" s="71">
        <v>5</v>
      </c>
      <c r="X126" s="71">
        <v>10</v>
      </c>
      <c r="Y126" s="71">
        <v>5</v>
      </c>
      <c r="Z126" s="70" t="s">
        <v>230</v>
      </c>
      <c r="AA126" s="61"/>
      <c r="AB126" s="61"/>
      <c r="AC126" s="61"/>
      <c r="AD126" s="61" t="s">
        <v>468</v>
      </c>
      <c r="AE126" s="61"/>
      <c r="AF126" s="61"/>
      <c r="AG126" s="61"/>
      <c r="AH126" s="61"/>
    </row>
    <row r="127" ht="28.5" spans="1:34">
      <c r="A127" s="61" t="s">
        <v>70</v>
      </c>
      <c r="B127" s="38" t="s">
        <v>95</v>
      </c>
      <c r="C127" s="69" t="s">
        <v>72</v>
      </c>
      <c r="D127" s="84" t="s">
        <v>469</v>
      </c>
      <c r="E127" s="37" t="s">
        <v>470</v>
      </c>
      <c r="F127" s="70" t="s">
        <v>227</v>
      </c>
      <c r="G127" s="61" t="s">
        <v>117</v>
      </c>
      <c r="H127" s="70" t="s">
        <v>118</v>
      </c>
      <c r="I127" s="70" t="s">
        <v>228</v>
      </c>
      <c r="J127" s="70" t="s">
        <v>112</v>
      </c>
      <c r="K127" s="70" t="s">
        <v>100</v>
      </c>
      <c r="L127" s="72" t="s">
        <v>113</v>
      </c>
      <c r="M127" s="73" t="s">
        <v>102</v>
      </c>
      <c r="N127" s="73" t="s">
        <v>113</v>
      </c>
      <c r="O127" s="61"/>
      <c r="P127" s="70" t="s">
        <v>100</v>
      </c>
      <c r="Q127" s="71">
        <v>39.99</v>
      </c>
      <c r="R127" s="71">
        <v>19.99</v>
      </c>
      <c r="S127" s="71">
        <f>R127</f>
        <v>19.99</v>
      </c>
      <c r="T127" s="71">
        <f t="shared" si="12"/>
        <v>19.99</v>
      </c>
      <c r="U127" s="71">
        <f>VLOOKUP(E127,Sheet2!A:B,2,0)</f>
        <v>14.99</v>
      </c>
      <c r="V127" s="71">
        <f>U127</f>
        <v>14.99</v>
      </c>
      <c r="W127" s="71">
        <v>5</v>
      </c>
      <c r="X127" s="71">
        <v>10</v>
      </c>
      <c r="Y127" s="71">
        <v>5</v>
      </c>
      <c r="Z127" s="70" t="s">
        <v>230</v>
      </c>
      <c r="AA127" s="61"/>
      <c r="AB127" s="61"/>
      <c r="AC127" s="61"/>
      <c r="AD127" s="61" t="s">
        <v>471</v>
      </c>
      <c r="AE127" s="61"/>
      <c r="AF127" s="61"/>
      <c r="AG127" s="61"/>
      <c r="AH127" s="61"/>
    </row>
    <row r="128" ht="28.5" spans="1:34">
      <c r="A128" s="61" t="s">
        <v>70</v>
      </c>
      <c r="B128" s="38" t="s">
        <v>95</v>
      </c>
      <c r="C128" s="69" t="s">
        <v>72</v>
      </c>
      <c r="D128" s="84" t="s">
        <v>472</v>
      </c>
      <c r="E128" s="37" t="s">
        <v>473</v>
      </c>
      <c r="F128" s="70" t="s">
        <v>227</v>
      </c>
      <c r="G128" s="61" t="s">
        <v>117</v>
      </c>
      <c r="H128" s="70" t="s">
        <v>118</v>
      </c>
      <c r="I128" s="70" t="s">
        <v>228</v>
      </c>
      <c r="J128" s="70" t="s">
        <v>229</v>
      </c>
      <c r="K128" s="70" t="s">
        <v>100</v>
      </c>
      <c r="L128" s="72" t="s">
        <v>113</v>
      </c>
      <c r="M128" s="73" t="s">
        <v>102</v>
      </c>
      <c r="N128" s="73" t="s">
        <v>113</v>
      </c>
      <c r="O128" s="61"/>
      <c r="P128" s="70" t="s">
        <v>100</v>
      </c>
      <c r="Q128" s="71">
        <v>69.99</v>
      </c>
      <c r="R128" s="71">
        <v>39.99</v>
      </c>
      <c r="S128" s="71">
        <f>R128</f>
        <v>39.99</v>
      </c>
      <c r="T128" s="71">
        <f t="shared" si="12"/>
        <v>39.99</v>
      </c>
      <c r="U128" s="71">
        <f>VLOOKUP(E128,Sheet2!A:B,2,0)</f>
        <v>32.99</v>
      </c>
      <c r="V128" s="71">
        <f>U128</f>
        <v>32.99</v>
      </c>
      <c r="W128" s="71">
        <v>5</v>
      </c>
      <c r="X128" s="71">
        <v>10</v>
      </c>
      <c r="Y128" s="71">
        <v>5</v>
      </c>
      <c r="Z128" s="70" t="s">
        <v>230</v>
      </c>
      <c r="AA128" s="61"/>
      <c r="AB128" s="61"/>
      <c r="AC128" s="61"/>
      <c r="AD128" s="61" t="s">
        <v>474</v>
      </c>
      <c r="AE128" s="61"/>
      <c r="AF128" s="61"/>
      <c r="AG128" s="61"/>
      <c r="AH128" s="61"/>
    </row>
    <row r="129" ht="28.5" spans="1:34">
      <c r="A129" s="61" t="s">
        <v>70</v>
      </c>
      <c r="B129" s="38" t="s">
        <v>95</v>
      </c>
      <c r="C129" s="69" t="s">
        <v>72</v>
      </c>
      <c r="D129" s="84" t="s">
        <v>475</v>
      </c>
      <c r="E129" s="37" t="s">
        <v>476</v>
      </c>
      <c r="F129" s="70" t="s">
        <v>227</v>
      </c>
      <c r="G129" s="61" t="s">
        <v>117</v>
      </c>
      <c r="H129" s="70" t="s">
        <v>118</v>
      </c>
      <c r="I129" s="70" t="s">
        <v>228</v>
      </c>
      <c r="J129" s="70" t="s">
        <v>252</v>
      </c>
      <c r="K129" s="70" t="s">
        <v>100</v>
      </c>
      <c r="L129" s="72" t="s">
        <v>113</v>
      </c>
      <c r="M129" s="73" t="s">
        <v>102</v>
      </c>
      <c r="N129" s="73" t="s">
        <v>113</v>
      </c>
      <c r="O129" s="61"/>
      <c r="P129" s="70" t="s">
        <v>100</v>
      </c>
      <c r="Q129" s="71">
        <v>39.99</v>
      </c>
      <c r="R129" s="71">
        <v>19.99</v>
      </c>
      <c r="S129" s="71">
        <f>R129</f>
        <v>19.99</v>
      </c>
      <c r="T129" s="71">
        <f t="shared" si="12"/>
        <v>19.99</v>
      </c>
      <c r="U129" s="71">
        <f>VLOOKUP(E129,Sheet2!A:B,2,0)</f>
        <v>14.99</v>
      </c>
      <c r="V129" s="71">
        <f>U129</f>
        <v>14.99</v>
      </c>
      <c r="W129" s="71">
        <v>5</v>
      </c>
      <c r="X129" s="71">
        <v>10</v>
      </c>
      <c r="Y129" s="71">
        <v>5</v>
      </c>
      <c r="Z129" s="70" t="s">
        <v>230</v>
      </c>
      <c r="AA129" s="61"/>
      <c r="AB129" s="61"/>
      <c r="AC129" s="61"/>
      <c r="AD129" s="61" t="s">
        <v>477</v>
      </c>
      <c r="AE129" s="61"/>
      <c r="AF129" s="61"/>
      <c r="AG129" s="61"/>
      <c r="AH129" s="61"/>
    </row>
    <row r="130" ht="28.5" spans="1:34">
      <c r="A130" s="61" t="s">
        <v>70</v>
      </c>
      <c r="B130" s="38" t="s">
        <v>95</v>
      </c>
      <c r="C130" s="69" t="s">
        <v>72</v>
      </c>
      <c r="D130" s="84" t="s">
        <v>478</v>
      </c>
      <c r="E130" s="37" t="s">
        <v>479</v>
      </c>
      <c r="F130" s="70" t="s">
        <v>227</v>
      </c>
      <c r="G130" s="61" t="s">
        <v>117</v>
      </c>
      <c r="H130" s="70" t="s">
        <v>118</v>
      </c>
      <c r="I130" s="70" t="s">
        <v>228</v>
      </c>
      <c r="J130" s="70" t="s">
        <v>229</v>
      </c>
      <c r="K130" s="70" t="s">
        <v>100</v>
      </c>
      <c r="L130" s="72" t="s">
        <v>113</v>
      </c>
      <c r="M130" s="73" t="s">
        <v>102</v>
      </c>
      <c r="N130" s="73" t="s">
        <v>113</v>
      </c>
      <c r="O130" s="61"/>
      <c r="P130" s="70" t="s">
        <v>100</v>
      </c>
      <c r="Q130" s="71">
        <v>69.99</v>
      </c>
      <c r="R130" s="71">
        <v>39.99</v>
      </c>
      <c r="S130" s="71">
        <f>R130</f>
        <v>39.99</v>
      </c>
      <c r="T130" s="71">
        <f t="shared" si="12"/>
        <v>39.99</v>
      </c>
      <c r="U130" s="71">
        <f>VLOOKUP(E130,Sheet2!A:B,2,0)</f>
        <v>36.99</v>
      </c>
      <c r="V130" s="71">
        <f>U130</f>
        <v>36.99</v>
      </c>
      <c r="W130" s="71">
        <v>5</v>
      </c>
      <c r="X130" s="71">
        <v>10</v>
      </c>
      <c r="Y130" s="71">
        <v>5</v>
      </c>
      <c r="Z130" s="70" t="s">
        <v>230</v>
      </c>
      <c r="AA130" s="61"/>
      <c r="AB130" s="61"/>
      <c r="AC130" s="61"/>
      <c r="AD130" s="61" t="s">
        <v>480</v>
      </c>
      <c r="AE130" s="61"/>
      <c r="AF130" s="61"/>
      <c r="AG130" s="61"/>
      <c r="AH130" s="61"/>
    </row>
    <row r="131" ht="28.5" spans="1:34">
      <c r="A131" s="61" t="s">
        <v>70</v>
      </c>
      <c r="B131" s="38" t="s">
        <v>95</v>
      </c>
      <c r="C131" s="69" t="s">
        <v>72</v>
      </c>
      <c r="D131" s="84" t="s">
        <v>481</v>
      </c>
      <c r="E131" s="37" t="s">
        <v>482</v>
      </c>
      <c r="F131" s="70" t="s">
        <v>227</v>
      </c>
      <c r="G131" s="61" t="s">
        <v>117</v>
      </c>
      <c r="H131" s="70" t="s">
        <v>118</v>
      </c>
      <c r="I131" s="70" t="s">
        <v>228</v>
      </c>
      <c r="J131" s="70" t="s">
        <v>229</v>
      </c>
      <c r="K131" s="70" t="s">
        <v>100</v>
      </c>
      <c r="L131" s="72" t="s">
        <v>113</v>
      </c>
      <c r="M131" s="73" t="s">
        <v>102</v>
      </c>
      <c r="N131" s="73" t="s">
        <v>113</v>
      </c>
      <c r="O131" s="61"/>
      <c r="P131" s="70" t="s">
        <v>100</v>
      </c>
      <c r="Q131" s="71">
        <v>69.99</v>
      </c>
      <c r="R131" s="71">
        <v>39.99</v>
      </c>
      <c r="S131" s="71">
        <f>R131</f>
        <v>39.99</v>
      </c>
      <c r="T131" s="71">
        <f t="shared" si="12"/>
        <v>39.99</v>
      </c>
      <c r="U131" s="71">
        <f>VLOOKUP(E131,Sheet2!A:B,2,0)</f>
        <v>36.99</v>
      </c>
      <c r="V131" s="71">
        <f>U131</f>
        <v>36.99</v>
      </c>
      <c r="W131" s="71">
        <v>5</v>
      </c>
      <c r="X131" s="71">
        <v>10</v>
      </c>
      <c r="Y131" s="71">
        <v>5</v>
      </c>
      <c r="Z131" s="70" t="s">
        <v>230</v>
      </c>
      <c r="AA131" s="61"/>
      <c r="AB131" s="61"/>
      <c r="AC131" s="61"/>
      <c r="AD131" s="61" t="s">
        <v>483</v>
      </c>
      <c r="AE131" s="61"/>
      <c r="AF131" s="61"/>
      <c r="AG131" s="61"/>
      <c r="AH131" s="61"/>
    </row>
    <row r="132" ht="28.5" spans="1:34">
      <c r="A132" s="61" t="s">
        <v>70</v>
      </c>
      <c r="B132" s="38" t="s">
        <v>95</v>
      </c>
      <c r="C132" s="69" t="s">
        <v>72</v>
      </c>
      <c r="D132" s="84" t="s">
        <v>484</v>
      </c>
      <c r="E132" s="53" t="s">
        <v>485</v>
      </c>
      <c r="F132" s="70" t="s">
        <v>227</v>
      </c>
      <c r="G132" s="61" t="s">
        <v>117</v>
      </c>
      <c r="H132" s="70" t="s">
        <v>118</v>
      </c>
      <c r="I132" s="70" t="s">
        <v>228</v>
      </c>
      <c r="J132" s="70" t="s">
        <v>112</v>
      </c>
      <c r="K132" s="70" t="s">
        <v>100</v>
      </c>
      <c r="L132" s="72" t="s">
        <v>113</v>
      </c>
      <c r="M132" s="73" t="s">
        <v>102</v>
      </c>
      <c r="N132" s="73" t="s">
        <v>113</v>
      </c>
      <c r="O132" s="61"/>
      <c r="P132" s="70" t="s">
        <v>100</v>
      </c>
      <c r="Q132" s="71">
        <v>99.99</v>
      </c>
      <c r="R132" s="71">
        <v>59.99</v>
      </c>
      <c r="S132" s="71">
        <f>R132</f>
        <v>59.99</v>
      </c>
      <c r="T132" s="71">
        <f t="shared" si="12"/>
        <v>59.99</v>
      </c>
      <c r="U132" s="71" t="str">
        <f>VLOOKUP(E132,Sheet2!A:B,2,0)</f>
        <v>/</v>
      </c>
      <c r="V132" s="71" t="str">
        <f>U132</f>
        <v>/</v>
      </c>
      <c r="W132" s="71">
        <v>5</v>
      </c>
      <c r="X132" s="71">
        <v>10</v>
      </c>
      <c r="Y132" s="71">
        <v>5</v>
      </c>
      <c r="Z132" s="70" t="s">
        <v>230</v>
      </c>
      <c r="AA132" s="61"/>
      <c r="AB132" s="61"/>
      <c r="AC132" s="61"/>
      <c r="AD132" s="61" t="s">
        <v>486</v>
      </c>
      <c r="AE132" s="61"/>
      <c r="AF132" s="61"/>
      <c r="AG132" s="61"/>
      <c r="AH132" s="61"/>
    </row>
    <row r="133" ht="28.5" spans="1:34">
      <c r="A133" s="61" t="s">
        <v>70</v>
      </c>
      <c r="B133" s="38" t="s">
        <v>95</v>
      </c>
      <c r="C133" s="69" t="s">
        <v>72</v>
      </c>
      <c r="D133" s="84" t="s">
        <v>487</v>
      </c>
      <c r="E133" s="54" t="s">
        <v>488</v>
      </c>
      <c r="F133" s="70" t="s">
        <v>227</v>
      </c>
      <c r="G133" s="61" t="s">
        <v>117</v>
      </c>
      <c r="H133" s="70" t="s">
        <v>118</v>
      </c>
      <c r="I133" s="70" t="s">
        <v>228</v>
      </c>
      <c r="J133" s="70" t="s">
        <v>112</v>
      </c>
      <c r="K133" s="70" t="s">
        <v>100</v>
      </c>
      <c r="L133" s="72" t="s">
        <v>113</v>
      </c>
      <c r="M133" s="73" t="s">
        <v>102</v>
      </c>
      <c r="N133" s="80" t="s">
        <v>103</v>
      </c>
      <c r="O133" s="61"/>
      <c r="P133" s="70" t="s">
        <v>100</v>
      </c>
      <c r="Q133" s="71">
        <v>99.99</v>
      </c>
      <c r="R133" s="71">
        <v>53.99</v>
      </c>
      <c r="S133" s="71">
        <f>R133</f>
        <v>53.99</v>
      </c>
      <c r="T133" s="71">
        <f t="shared" si="12"/>
        <v>53.99</v>
      </c>
      <c r="U133" s="71">
        <f>VLOOKUP(E133,Sheet2!A:B,2,0)</f>
        <v>53.99</v>
      </c>
      <c r="V133" s="71">
        <f>U133</f>
        <v>53.99</v>
      </c>
      <c r="W133" s="71">
        <v>5</v>
      </c>
      <c r="X133" s="71">
        <v>10</v>
      </c>
      <c r="Y133" s="71">
        <v>5</v>
      </c>
      <c r="Z133" s="70" t="s">
        <v>230</v>
      </c>
      <c r="AA133" s="61"/>
      <c r="AB133" s="61"/>
      <c r="AC133" s="61"/>
      <c r="AD133" s="61" t="s">
        <v>489</v>
      </c>
      <c r="AE133" s="61"/>
      <c r="AF133" s="61"/>
      <c r="AG133" s="61"/>
      <c r="AH133" s="61"/>
    </row>
    <row r="134" ht="28.5" spans="1:34">
      <c r="A134" s="61" t="s">
        <v>70</v>
      </c>
      <c r="B134" s="38" t="s">
        <v>95</v>
      </c>
      <c r="C134" s="69" t="s">
        <v>72</v>
      </c>
      <c r="D134" s="84" t="s">
        <v>408</v>
      </c>
      <c r="E134" s="37" t="s">
        <v>409</v>
      </c>
      <c r="F134" s="70" t="s">
        <v>227</v>
      </c>
      <c r="G134" s="61" t="s">
        <v>117</v>
      </c>
      <c r="H134" s="70" t="s">
        <v>118</v>
      </c>
      <c r="I134" s="70" t="s">
        <v>228</v>
      </c>
      <c r="J134" s="70" t="s">
        <v>112</v>
      </c>
      <c r="K134" s="70" t="s">
        <v>100</v>
      </c>
      <c r="L134" s="72" t="s">
        <v>113</v>
      </c>
      <c r="M134" s="73" t="s">
        <v>102</v>
      </c>
      <c r="N134" s="73" t="s">
        <v>113</v>
      </c>
      <c r="O134" s="61"/>
      <c r="P134" s="70" t="s">
        <v>100</v>
      </c>
      <c r="Q134" s="71">
        <v>79.99</v>
      </c>
      <c r="R134" s="71">
        <v>42.99</v>
      </c>
      <c r="S134" s="71">
        <f>R134</f>
        <v>42.99</v>
      </c>
      <c r="T134" s="71">
        <f t="shared" si="12"/>
        <v>42.99</v>
      </c>
      <c r="U134" s="71">
        <f>VLOOKUP(E134,Sheet2!A:B,2,0)</f>
        <v>39.99</v>
      </c>
      <c r="V134" s="71">
        <f>U134</f>
        <v>39.99</v>
      </c>
      <c r="W134" s="71">
        <v>5</v>
      </c>
      <c r="X134" s="71">
        <v>10</v>
      </c>
      <c r="Y134" s="71">
        <v>5</v>
      </c>
      <c r="Z134" s="70" t="s">
        <v>230</v>
      </c>
      <c r="AA134" s="61"/>
      <c r="AB134" s="61"/>
      <c r="AC134" s="61"/>
      <c r="AD134" s="61" t="s">
        <v>410</v>
      </c>
      <c r="AE134" s="61"/>
      <c r="AF134" s="61"/>
      <c r="AG134" s="61"/>
      <c r="AH134" s="61"/>
    </row>
    <row r="135" ht="57" spans="1:34">
      <c r="A135" s="61" t="s">
        <v>70</v>
      </c>
      <c r="B135" s="81" t="s">
        <v>490</v>
      </c>
      <c r="C135" s="69" t="s">
        <v>72</v>
      </c>
      <c r="D135" s="84" t="s">
        <v>491</v>
      </c>
      <c r="E135" s="31" t="s">
        <v>97</v>
      </c>
      <c r="F135" s="70" t="s">
        <v>227</v>
      </c>
      <c r="G135" s="61" t="s">
        <v>117</v>
      </c>
      <c r="H135" s="70" t="s">
        <v>118</v>
      </c>
      <c r="I135" s="70"/>
      <c r="P135" s="70"/>
      <c r="Q135" s="71">
        <f>VLOOKUP(E135,Sheet1!A:C,2,0)</f>
        <v>99.99</v>
      </c>
      <c r="R135" s="71" t="str">
        <f>VLOOKUP(E135,Sheet1!A:C,3,0)</f>
        <v>AL-W0169/53.99
AL-W0150/53.99
AL-W0190B/53.99
AL-W0161/56.99</v>
      </c>
      <c r="S135" t="str">
        <f>R135</f>
        <v>AL-W0169/53.99
AL-W0150/53.99
AL-W0190B/53.99
AL-W0161/56.99</v>
      </c>
      <c r="T135" t="str">
        <f t="shared" si="12"/>
        <v>AL-W0169/53.99
AL-W0150/53.99
AL-W0190B/53.99
AL-W0161/56.99</v>
      </c>
    </row>
    <row r="136" ht="57" spans="1:34">
      <c r="A136" s="61" t="s">
        <v>70</v>
      </c>
      <c r="B136" s="81" t="s">
        <v>490</v>
      </c>
      <c r="C136" s="69" t="s">
        <v>72</v>
      </c>
      <c r="D136" s="84" t="s">
        <v>492</v>
      </c>
      <c r="E136" s="35" t="s">
        <v>128</v>
      </c>
      <c r="F136" s="70" t="s">
        <v>227</v>
      </c>
      <c r="G136" s="61" t="s">
        <v>117</v>
      </c>
      <c r="H136" s="70" t="s">
        <v>118</v>
      </c>
      <c r="P136" s="70"/>
      <c r="Q136" s="71">
        <f>VLOOKUP(E136,Sheet1!A:C,2,0)</f>
        <v>99.99</v>
      </c>
      <c r="R136" s="71" t="str">
        <f>VLOOKUP(E136,Sheet1!A:C,3,0)</f>
        <v>AL-W0169/53.99
AL-W0150/53.99
AL-W0190B/53.99
AL-W0161/56.99</v>
      </c>
      <c r="S136" t="str">
        <f t="shared" ref="S136:S178" si="13">R136</f>
        <v>AL-W0169/53.99
AL-W0150/53.99
AL-W0190B/53.99
AL-W0161/56.99</v>
      </c>
      <c r="T136" t="str">
        <f t="shared" ref="T136:T178" si="14">S136</f>
        <v>AL-W0169/53.99
AL-W0150/53.99
AL-W0190B/53.99
AL-W0161/56.99</v>
      </c>
    </row>
    <row r="137" spans="1:34">
      <c r="A137" s="61" t="s">
        <v>70</v>
      </c>
      <c r="B137" s="81" t="s">
        <v>490</v>
      </c>
      <c r="C137" s="69" t="s">
        <v>72</v>
      </c>
      <c r="D137" s="84" t="s">
        <v>493</v>
      </c>
      <c r="E137" s="31" t="s">
        <v>170</v>
      </c>
      <c r="F137" s="70" t="s">
        <v>227</v>
      </c>
      <c r="G137" s="61" t="s">
        <v>117</v>
      </c>
      <c r="H137" s="70" t="s">
        <v>118</v>
      </c>
      <c r="Q137" s="71">
        <f>VLOOKUP(E137,Sheet1!A:C,2,0)</f>
        <v>69.99</v>
      </c>
      <c r="R137" s="71">
        <f>VLOOKUP(E137,Sheet1!A:C,3,0)</f>
        <v>53.99</v>
      </c>
      <c r="S137">
        <f t="shared" si="13"/>
        <v>53.99</v>
      </c>
      <c r="T137">
        <f t="shared" si="14"/>
        <v>53.99</v>
      </c>
    </row>
    <row r="138" ht="28.5" spans="1:34">
      <c r="A138" s="61" t="s">
        <v>70</v>
      </c>
      <c r="B138" s="81" t="s">
        <v>490</v>
      </c>
      <c r="C138" s="69" t="s">
        <v>72</v>
      </c>
      <c r="D138" s="84" t="s">
        <v>494</v>
      </c>
      <c r="E138" s="35" t="s">
        <v>216</v>
      </c>
      <c r="F138" s="70" t="s">
        <v>227</v>
      </c>
      <c r="G138" s="61" t="s">
        <v>117</v>
      </c>
      <c r="H138" s="70" t="s">
        <v>118</v>
      </c>
      <c r="Q138" s="71">
        <f>VLOOKUP(E138,Sheet1!A:C,2,0)</f>
        <v>65.99</v>
      </c>
      <c r="R138" s="71" t="str">
        <f>VLOOKUP(E138,Sheet1!A:C,3,0)</f>
        <v>AL-SZ2405/45.99
AL-WT2404/45.99</v>
      </c>
      <c r="S138" t="str">
        <f t="shared" si="13"/>
        <v>AL-SZ2405/45.99
AL-WT2404/45.99</v>
      </c>
      <c r="T138" t="str">
        <f t="shared" si="14"/>
        <v>AL-SZ2405/45.99
AL-WT2404/45.99</v>
      </c>
    </row>
    <row r="139" ht="28.5" spans="1:34">
      <c r="A139" s="61" t="s">
        <v>70</v>
      </c>
      <c r="B139" s="81" t="s">
        <v>490</v>
      </c>
      <c r="C139" s="69" t="s">
        <v>72</v>
      </c>
      <c r="D139" s="84" t="s">
        <v>495</v>
      </c>
      <c r="E139" s="35" t="s">
        <v>220</v>
      </c>
      <c r="F139" s="70" t="s">
        <v>227</v>
      </c>
      <c r="G139" s="61" t="s">
        <v>117</v>
      </c>
      <c r="H139" s="70" t="s">
        <v>118</v>
      </c>
      <c r="Q139" s="71">
        <f>VLOOKUP(E139,Sheet1!A:C,2,0)</f>
        <v>65.99</v>
      </c>
      <c r="R139" s="71" t="str">
        <f>VLOOKUP(E139,Sheet1!A:C,3,0)</f>
        <v>AL-SZ2405/45.99
AL-WT2404/45.99</v>
      </c>
      <c r="S139" t="str">
        <f t="shared" si="13"/>
        <v>AL-SZ2405/45.99
AL-WT2404/45.99</v>
      </c>
      <c r="T139" t="str">
        <f t="shared" si="14"/>
        <v>AL-SZ2405/45.99
AL-WT2404/45.99</v>
      </c>
    </row>
    <row r="140" ht="28.5" spans="1:34">
      <c r="A140" s="61" t="s">
        <v>70</v>
      </c>
      <c r="B140" s="82" t="s">
        <v>490</v>
      </c>
      <c r="C140" s="69" t="s">
        <v>72</v>
      </c>
      <c r="D140" s="84" t="s">
        <v>496</v>
      </c>
      <c r="E140" s="35" t="s">
        <v>220</v>
      </c>
      <c r="F140" s="70" t="s">
        <v>227</v>
      </c>
      <c r="G140" s="61" t="s">
        <v>117</v>
      </c>
      <c r="H140" s="70" t="s">
        <v>118</v>
      </c>
      <c r="Q140" s="71">
        <f>VLOOKUP(E140,Sheet1!A:C,2,0)</f>
        <v>65.99</v>
      </c>
      <c r="R140" s="71" t="str">
        <f>VLOOKUP(E140,Sheet1!A:C,3,0)</f>
        <v>AL-SZ2405/45.99
AL-WT2404/45.99</v>
      </c>
      <c r="S140" t="str">
        <f t="shared" si="13"/>
        <v>AL-SZ2405/45.99
AL-WT2404/45.99</v>
      </c>
      <c r="T140" t="str">
        <f t="shared" si="14"/>
        <v>AL-SZ2405/45.99
AL-WT2404/45.99</v>
      </c>
    </row>
    <row r="141" spans="1:34">
      <c r="A141" s="61" t="s">
        <v>70</v>
      </c>
      <c r="B141" s="81" t="s">
        <v>490</v>
      </c>
      <c r="C141" s="69" t="s">
        <v>72</v>
      </c>
      <c r="D141" s="84" t="s">
        <v>497</v>
      </c>
      <c r="E141" s="31" t="s">
        <v>157</v>
      </c>
      <c r="F141" s="70" t="s">
        <v>227</v>
      </c>
      <c r="G141" s="61" t="s">
        <v>117</v>
      </c>
      <c r="H141" s="70" t="s">
        <v>118</v>
      </c>
      <c r="Q141" s="71">
        <f>VLOOKUP(E141,Sheet1!A:C,2,0)</f>
        <v>99.99</v>
      </c>
      <c r="R141" s="71">
        <f>VLOOKUP(E141,Sheet1!A:C,3,0)</f>
        <v>53.99</v>
      </c>
      <c r="S141">
        <f t="shared" si="13"/>
        <v>53.99</v>
      </c>
      <c r="T141">
        <f t="shared" si="14"/>
        <v>53.99</v>
      </c>
    </row>
    <row r="142" spans="1:34">
      <c r="A142" s="61" t="s">
        <v>70</v>
      </c>
      <c r="B142" s="81" t="s">
        <v>490</v>
      </c>
      <c r="C142" s="69" t="s">
        <v>72</v>
      </c>
      <c r="D142" s="84" t="s">
        <v>498</v>
      </c>
      <c r="E142" s="31" t="s">
        <v>499</v>
      </c>
      <c r="F142" s="70" t="s">
        <v>227</v>
      </c>
      <c r="G142" s="61" t="s">
        <v>117</v>
      </c>
      <c r="H142" s="70" t="s">
        <v>118</v>
      </c>
      <c r="Q142" s="71">
        <v>99.99</v>
      </c>
      <c r="R142" s="71">
        <v>53.99</v>
      </c>
      <c r="S142">
        <f t="shared" si="13"/>
        <v>53.99</v>
      </c>
      <c r="T142">
        <f t="shared" si="14"/>
        <v>53.99</v>
      </c>
    </row>
    <row r="143" spans="1:34">
      <c r="A143" s="61" t="s">
        <v>70</v>
      </c>
      <c r="B143" s="81" t="s">
        <v>490</v>
      </c>
      <c r="C143" s="69" t="s">
        <v>72</v>
      </c>
      <c r="D143" s="84" t="s">
        <v>500</v>
      </c>
      <c r="E143" s="35" t="s">
        <v>206</v>
      </c>
      <c r="F143" s="70" t="s">
        <v>227</v>
      </c>
      <c r="G143" s="61" t="s">
        <v>117</v>
      </c>
      <c r="H143" s="70" t="s">
        <v>118</v>
      </c>
      <c r="Q143" s="71">
        <f>VLOOKUP(E143,Sheet1!A:C,2,0)</f>
        <v>59.99</v>
      </c>
      <c r="R143" s="71">
        <f>VLOOKUP(E143,Sheet1!A:C,3,0)</f>
        <v>49.99</v>
      </c>
      <c r="S143">
        <f t="shared" si="13"/>
        <v>49.99</v>
      </c>
      <c r="T143">
        <f t="shared" si="14"/>
        <v>49.99</v>
      </c>
    </row>
    <row r="144" spans="1:34">
      <c r="A144" s="61" t="s">
        <v>70</v>
      </c>
      <c r="B144" s="81" t="s">
        <v>490</v>
      </c>
      <c r="C144" s="69" t="s">
        <v>72</v>
      </c>
      <c r="D144" s="84" t="s">
        <v>501</v>
      </c>
      <c r="E144" s="35" t="s">
        <v>179</v>
      </c>
      <c r="F144" s="70" t="s">
        <v>227</v>
      </c>
      <c r="G144" s="61" t="s">
        <v>117</v>
      </c>
      <c r="H144" s="70" t="s">
        <v>118</v>
      </c>
      <c r="Q144" s="71">
        <f>VLOOKUP(E144,Sheet1!A:C,2,0)</f>
        <v>49.99</v>
      </c>
      <c r="R144" s="71">
        <f>VLOOKUP(E144,Sheet1!A:C,3,0)</f>
        <v>39.99</v>
      </c>
      <c r="S144">
        <f t="shared" si="13"/>
        <v>39.99</v>
      </c>
      <c r="T144">
        <f t="shared" si="14"/>
        <v>39.99</v>
      </c>
    </row>
    <row r="145" spans="1:20">
      <c r="A145" s="61" t="s">
        <v>70</v>
      </c>
      <c r="B145" s="81" t="s">
        <v>490</v>
      </c>
      <c r="C145" s="69" t="s">
        <v>72</v>
      </c>
      <c r="D145" s="84" t="s">
        <v>502</v>
      </c>
      <c r="E145" s="35" t="s">
        <v>223</v>
      </c>
      <c r="F145" s="70" t="s">
        <v>227</v>
      </c>
      <c r="G145" s="61" t="s">
        <v>117</v>
      </c>
      <c r="H145" s="70" t="s">
        <v>118</v>
      </c>
      <c r="Q145" s="71">
        <f>VLOOKUP(E145,Sheet1!A:C,2,0)</f>
        <v>69.99</v>
      </c>
      <c r="R145" s="71">
        <f>VLOOKUP(E145,Sheet1!A:C,3,0)</f>
        <v>45.99</v>
      </c>
      <c r="S145">
        <f t="shared" si="13"/>
        <v>45.99</v>
      </c>
      <c r="T145">
        <f t="shared" si="14"/>
        <v>45.99</v>
      </c>
    </row>
    <row r="146" spans="1:20">
      <c r="A146" s="61" t="s">
        <v>70</v>
      </c>
      <c r="B146" s="81" t="s">
        <v>490</v>
      </c>
      <c r="C146" s="69" t="s">
        <v>72</v>
      </c>
      <c r="D146" s="84" t="s">
        <v>503</v>
      </c>
      <c r="E146" s="31" t="s">
        <v>194</v>
      </c>
      <c r="F146" s="70" t="s">
        <v>227</v>
      </c>
      <c r="G146" s="61" t="s">
        <v>117</v>
      </c>
      <c r="H146" s="70" t="s">
        <v>118</v>
      </c>
      <c r="Q146" s="71">
        <f>VLOOKUP(E146,Sheet1!A:C,2,0)</f>
        <v>69.99</v>
      </c>
      <c r="R146" s="71">
        <f>VLOOKUP(E146,Sheet1!A:C,3,0)</f>
        <v>53.99</v>
      </c>
      <c r="S146">
        <f t="shared" si="13"/>
        <v>53.99</v>
      </c>
      <c r="T146">
        <f t="shared" si="14"/>
        <v>53.99</v>
      </c>
    </row>
    <row r="147" spans="1:20">
      <c r="A147" s="61" t="s">
        <v>70</v>
      </c>
      <c r="B147" s="81" t="s">
        <v>490</v>
      </c>
      <c r="C147" s="69" t="s">
        <v>72</v>
      </c>
      <c r="D147" s="84" t="s">
        <v>504</v>
      </c>
      <c r="E147" s="31" t="s">
        <v>211</v>
      </c>
      <c r="F147" s="70" t="s">
        <v>227</v>
      </c>
      <c r="G147" s="61" t="s">
        <v>117</v>
      </c>
      <c r="H147" s="70" t="s">
        <v>118</v>
      </c>
      <c r="Q147" s="71">
        <f>VLOOKUP(E147,Sheet1!A:C,2,0)</f>
        <v>69.99</v>
      </c>
      <c r="R147" s="71">
        <f>VLOOKUP(E147,Sheet1!A:C,3,0)</f>
        <v>53.99</v>
      </c>
      <c r="S147">
        <f t="shared" si="13"/>
        <v>53.99</v>
      </c>
      <c r="T147">
        <f t="shared" si="14"/>
        <v>53.99</v>
      </c>
    </row>
    <row r="148" spans="1:20">
      <c r="A148" s="61" t="s">
        <v>70</v>
      </c>
      <c r="B148" s="81" t="s">
        <v>490</v>
      </c>
      <c r="C148" s="69" t="s">
        <v>72</v>
      </c>
      <c r="D148" s="84" t="s">
        <v>505</v>
      </c>
      <c r="E148" s="31" t="s">
        <v>201</v>
      </c>
      <c r="F148" s="70" t="s">
        <v>227</v>
      </c>
      <c r="G148" s="61" t="s">
        <v>117</v>
      </c>
      <c r="H148" s="70" t="s">
        <v>118</v>
      </c>
      <c r="Q148" s="71">
        <f>VLOOKUP(E148,Sheet1!A:C,2,0)</f>
        <v>69.99</v>
      </c>
      <c r="R148" s="71">
        <f>VLOOKUP(E148,Sheet1!A:C,3,0)</f>
        <v>53.99</v>
      </c>
      <c r="S148">
        <f t="shared" si="13"/>
        <v>53.99</v>
      </c>
      <c r="T148">
        <f t="shared" si="14"/>
        <v>53.99</v>
      </c>
    </row>
    <row r="149" spans="1:20">
      <c r="A149" s="61" t="s">
        <v>70</v>
      </c>
      <c r="B149" s="81" t="s">
        <v>490</v>
      </c>
      <c r="C149" s="69" t="s">
        <v>72</v>
      </c>
      <c r="D149" s="84" t="s">
        <v>506</v>
      </c>
      <c r="E149" s="35" t="s">
        <v>507</v>
      </c>
      <c r="F149" s="70" t="s">
        <v>227</v>
      </c>
      <c r="G149" s="61" t="s">
        <v>117</v>
      </c>
      <c r="H149" s="70" t="s">
        <v>118</v>
      </c>
      <c r="Q149" s="71">
        <f>VLOOKUP(D149,Sheet3!A:C,2,TRUE)</f>
        <v>49.99</v>
      </c>
      <c r="R149" s="71">
        <f>VLOOKUP(D149,Sheet3!A:C,3,TRUE)</f>
        <v>41.99</v>
      </c>
      <c r="S149">
        <f t="shared" si="13"/>
        <v>41.99</v>
      </c>
      <c r="T149">
        <f t="shared" si="14"/>
        <v>41.99</v>
      </c>
    </row>
    <row r="150" spans="1:20">
      <c r="A150" s="61" t="s">
        <v>70</v>
      </c>
      <c r="B150" s="81" t="s">
        <v>490</v>
      </c>
      <c r="C150" s="69" t="s">
        <v>72</v>
      </c>
      <c r="D150" s="84" t="s">
        <v>508</v>
      </c>
      <c r="E150" s="35" t="s">
        <v>509</v>
      </c>
      <c r="F150" s="70" t="s">
        <v>227</v>
      </c>
      <c r="G150" s="61" t="s">
        <v>117</v>
      </c>
      <c r="H150" s="70" t="s">
        <v>118</v>
      </c>
      <c r="Q150" s="71">
        <f>VLOOKUP(D150,Sheet3!A:C,2,TRUE)</f>
        <v>49.99</v>
      </c>
      <c r="R150" s="71">
        <f>VLOOKUP(D150,Sheet3!A:C,3,TRUE)</f>
        <v>41.99</v>
      </c>
      <c r="S150">
        <f t="shared" si="13"/>
        <v>41.99</v>
      </c>
      <c r="T150">
        <f t="shared" si="14"/>
        <v>41.99</v>
      </c>
    </row>
    <row r="151" spans="1:20">
      <c r="A151" s="61" t="s">
        <v>70</v>
      </c>
      <c r="B151" s="81" t="s">
        <v>490</v>
      </c>
      <c r="C151" s="69" t="s">
        <v>72</v>
      </c>
      <c r="D151" s="84" t="s">
        <v>510</v>
      </c>
      <c r="E151" s="31" t="s">
        <v>511</v>
      </c>
      <c r="F151" s="70" t="s">
        <v>227</v>
      </c>
      <c r="G151" s="61" t="s">
        <v>117</v>
      </c>
      <c r="H151" s="70" t="s">
        <v>118</v>
      </c>
      <c r="Q151" s="71">
        <f>VLOOKUP(D151,Sheet3!A:C,2,TRUE)</f>
        <v>49.99</v>
      </c>
      <c r="R151" s="71">
        <f>VLOOKUP(D151,Sheet3!A:C,3,TRUE)</f>
        <v>41.99</v>
      </c>
      <c r="S151">
        <f t="shared" si="13"/>
        <v>41.99</v>
      </c>
      <c r="T151">
        <f t="shared" si="14"/>
        <v>41.99</v>
      </c>
    </row>
    <row r="152" spans="1:20">
      <c r="A152" s="61" t="s">
        <v>70</v>
      </c>
      <c r="B152" s="81" t="s">
        <v>490</v>
      </c>
      <c r="C152" s="69" t="s">
        <v>72</v>
      </c>
      <c r="D152" s="84" t="s">
        <v>512</v>
      </c>
      <c r="E152" s="31" t="s">
        <v>513</v>
      </c>
      <c r="F152" s="70" t="s">
        <v>227</v>
      </c>
      <c r="G152" s="61" t="s">
        <v>117</v>
      </c>
      <c r="H152" s="70" t="s">
        <v>118</v>
      </c>
      <c r="Q152" s="71">
        <f>VLOOKUP(D152,Sheet3!A:C,2,TRUE)</f>
        <v>49.99</v>
      </c>
      <c r="R152" s="71">
        <f>VLOOKUP(D152,Sheet3!A:C,3,TRUE)</f>
        <v>41.99</v>
      </c>
      <c r="S152">
        <f t="shared" si="13"/>
        <v>41.99</v>
      </c>
      <c r="T152">
        <f t="shared" si="14"/>
        <v>41.99</v>
      </c>
    </row>
    <row r="153" spans="1:20">
      <c r="A153" s="61" t="s">
        <v>70</v>
      </c>
      <c r="B153" s="81" t="s">
        <v>490</v>
      </c>
      <c r="C153" s="69" t="s">
        <v>72</v>
      </c>
      <c r="D153" s="84" t="s">
        <v>514</v>
      </c>
      <c r="E153" s="31" t="s">
        <v>515</v>
      </c>
      <c r="F153" s="70" t="s">
        <v>227</v>
      </c>
      <c r="G153" s="61" t="s">
        <v>117</v>
      </c>
      <c r="H153" s="70" t="s">
        <v>118</v>
      </c>
      <c r="Q153" s="71">
        <f>VLOOKUP(D153,Sheet3!A:C,2,TRUE)</f>
        <v>49.99</v>
      </c>
      <c r="R153" s="71">
        <f>VLOOKUP(D153,Sheet3!A:C,3,TRUE)</f>
        <v>41.99</v>
      </c>
      <c r="S153">
        <f t="shared" si="13"/>
        <v>41.99</v>
      </c>
      <c r="T153">
        <f t="shared" si="14"/>
        <v>41.99</v>
      </c>
    </row>
    <row r="154" spans="1:20">
      <c r="A154" s="61" t="s">
        <v>70</v>
      </c>
      <c r="B154" s="81" t="s">
        <v>490</v>
      </c>
      <c r="C154" s="69" t="s">
        <v>72</v>
      </c>
      <c r="D154" s="84" t="s">
        <v>516</v>
      </c>
      <c r="E154" s="31" t="s">
        <v>517</v>
      </c>
      <c r="F154" s="70" t="s">
        <v>227</v>
      </c>
      <c r="G154" s="61" t="s">
        <v>117</v>
      </c>
      <c r="H154" s="70" t="s">
        <v>118</v>
      </c>
      <c r="Q154" s="71">
        <f>VLOOKUP(D154,Sheet3!A:C,2,TRUE)</f>
        <v>49.99</v>
      </c>
      <c r="R154" s="71">
        <f>VLOOKUP(D154,Sheet3!A:C,3,TRUE)</f>
        <v>41.99</v>
      </c>
      <c r="S154">
        <f t="shared" si="13"/>
        <v>41.99</v>
      </c>
      <c r="T154">
        <f t="shared" si="14"/>
        <v>41.99</v>
      </c>
    </row>
    <row r="155" spans="1:20">
      <c r="A155" s="61" t="s">
        <v>70</v>
      </c>
      <c r="B155" s="81" t="s">
        <v>490</v>
      </c>
      <c r="C155" s="69" t="s">
        <v>72</v>
      </c>
      <c r="D155" s="84" t="s">
        <v>518</v>
      </c>
      <c r="E155" s="38" t="s">
        <v>141</v>
      </c>
      <c r="F155" s="70" t="s">
        <v>227</v>
      </c>
      <c r="G155" s="61" t="s">
        <v>117</v>
      </c>
      <c r="H155" s="70" t="s">
        <v>118</v>
      </c>
      <c r="Q155" s="71">
        <f>VLOOKUP(D155,Sheet3!A:C,2,TRUE)</f>
        <v>49.99</v>
      </c>
      <c r="R155" s="71">
        <f>VLOOKUP(D155,Sheet3!A:C,3,TRUE)</f>
        <v>41.99</v>
      </c>
      <c r="S155">
        <f t="shared" si="13"/>
        <v>41.99</v>
      </c>
      <c r="T155">
        <f t="shared" si="14"/>
        <v>41.99</v>
      </c>
    </row>
    <row r="156" spans="1:20">
      <c r="A156" s="61" t="s">
        <v>70</v>
      </c>
      <c r="B156" s="81" t="s">
        <v>490</v>
      </c>
      <c r="C156" s="69" t="s">
        <v>72</v>
      </c>
      <c r="D156" s="84" t="s">
        <v>519</v>
      </c>
      <c r="E156" s="83" t="s">
        <v>520</v>
      </c>
      <c r="F156" s="70" t="s">
        <v>227</v>
      </c>
      <c r="G156" s="61" t="s">
        <v>117</v>
      </c>
      <c r="H156" s="70" t="s">
        <v>118</v>
      </c>
      <c r="Q156" s="71">
        <f>VLOOKUP(D156,Sheet3!A:C,2,TRUE)</f>
        <v>49.99</v>
      </c>
      <c r="R156" s="71">
        <f>VLOOKUP(D156,Sheet3!A:C,3,TRUE)</f>
        <v>41.99</v>
      </c>
      <c r="S156">
        <f t="shared" si="13"/>
        <v>41.99</v>
      </c>
      <c r="T156">
        <f t="shared" si="14"/>
        <v>41.99</v>
      </c>
    </row>
    <row r="157" spans="1:20">
      <c r="A157" s="61" t="s">
        <v>70</v>
      </c>
      <c r="B157" s="81" t="s">
        <v>490</v>
      </c>
      <c r="C157" s="69" t="s">
        <v>72</v>
      </c>
      <c r="D157" s="84" t="s">
        <v>521</v>
      </c>
      <c r="E157" s="83" t="s">
        <v>522</v>
      </c>
      <c r="F157" s="70" t="s">
        <v>227</v>
      </c>
      <c r="G157" s="61" t="s">
        <v>117</v>
      </c>
      <c r="H157" s="70" t="s">
        <v>118</v>
      </c>
      <c r="Q157" s="71">
        <f>VLOOKUP(D157,Sheet3!A:C,2,TRUE)</f>
        <v>49.99</v>
      </c>
      <c r="R157" s="71">
        <f>VLOOKUP(D157,Sheet3!A:C,3,TRUE)</f>
        <v>41.99</v>
      </c>
      <c r="S157">
        <f t="shared" si="13"/>
        <v>41.99</v>
      </c>
      <c r="T157">
        <f t="shared" si="14"/>
        <v>41.99</v>
      </c>
    </row>
    <row r="158" spans="1:20">
      <c r="A158" s="61" t="s">
        <v>70</v>
      </c>
      <c r="B158" s="81" t="s">
        <v>490</v>
      </c>
      <c r="C158" s="69" t="s">
        <v>72</v>
      </c>
      <c r="D158" s="84" t="s">
        <v>523</v>
      </c>
      <c r="E158" s="37" t="s">
        <v>524</v>
      </c>
      <c r="F158" s="70" t="s">
        <v>227</v>
      </c>
      <c r="G158" s="61" t="s">
        <v>117</v>
      </c>
      <c r="H158" s="70" t="s">
        <v>118</v>
      </c>
      <c r="Q158" s="71">
        <f>VLOOKUP(D158,Sheet3!A:C,2,TRUE)</f>
        <v>49.99</v>
      </c>
      <c r="R158" s="71">
        <f>VLOOKUP(D158,Sheet3!A:C,3,TRUE)</f>
        <v>41.99</v>
      </c>
      <c r="S158">
        <f t="shared" si="13"/>
        <v>41.99</v>
      </c>
      <c r="T158">
        <f t="shared" si="14"/>
        <v>41.99</v>
      </c>
    </row>
    <row r="159" spans="1:20">
      <c r="A159" s="61" t="s">
        <v>70</v>
      </c>
      <c r="B159" s="81" t="s">
        <v>490</v>
      </c>
      <c r="C159" s="69" t="s">
        <v>72</v>
      </c>
      <c r="D159" s="84" t="s">
        <v>525</v>
      </c>
      <c r="E159" s="37" t="s">
        <v>526</v>
      </c>
      <c r="F159" s="70" t="s">
        <v>227</v>
      </c>
      <c r="G159" s="61" t="s">
        <v>117</v>
      </c>
      <c r="H159" s="70" t="s">
        <v>118</v>
      </c>
      <c r="Q159" s="71">
        <f>VLOOKUP(D159,Sheet3!A:C,2,TRUE)</f>
        <v>49.99</v>
      </c>
      <c r="R159" s="71">
        <f>VLOOKUP(D159,Sheet3!A:C,3,TRUE)</f>
        <v>41.99</v>
      </c>
      <c r="S159">
        <f t="shared" si="13"/>
        <v>41.99</v>
      </c>
      <c r="T159">
        <f t="shared" si="14"/>
        <v>41.99</v>
      </c>
    </row>
    <row r="160" spans="1:20">
      <c r="A160" s="61" t="s">
        <v>70</v>
      </c>
      <c r="B160" s="82" t="s">
        <v>490</v>
      </c>
      <c r="C160" s="69" t="s">
        <v>72</v>
      </c>
      <c r="D160" s="84" t="s">
        <v>527</v>
      </c>
      <c r="E160" s="35" t="s">
        <v>528</v>
      </c>
      <c r="F160" s="70" t="s">
        <v>227</v>
      </c>
      <c r="G160" s="61" t="s">
        <v>117</v>
      </c>
      <c r="H160" s="70" t="s">
        <v>118</v>
      </c>
      <c r="Q160" s="71">
        <f>VLOOKUP(D160,Sheet3!A:C,2,TRUE)</f>
        <v>99.99</v>
      </c>
      <c r="R160" s="71">
        <f>VLOOKUP(D160,Sheet3!A:C,3,TRUE)</f>
        <v>59.99</v>
      </c>
      <c r="S160">
        <f t="shared" si="13"/>
        <v>59.99</v>
      </c>
      <c r="T160">
        <f t="shared" si="14"/>
        <v>59.99</v>
      </c>
    </row>
    <row r="161" spans="1:20">
      <c r="A161" s="61" t="s">
        <v>70</v>
      </c>
      <c r="B161" s="81" t="s">
        <v>490</v>
      </c>
      <c r="C161" s="69" t="s">
        <v>72</v>
      </c>
      <c r="D161" s="84" t="s">
        <v>529</v>
      </c>
      <c r="E161" s="37" t="s">
        <v>530</v>
      </c>
      <c r="F161" s="70" t="s">
        <v>227</v>
      </c>
      <c r="G161" s="61" t="s">
        <v>117</v>
      </c>
      <c r="H161" s="70" t="s">
        <v>118</v>
      </c>
      <c r="Q161" s="71">
        <f>VLOOKUP(D161,Sheet3!A:C,2,TRUE)</f>
        <v>49.99</v>
      </c>
      <c r="R161" s="71">
        <f>VLOOKUP(D161,Sheet3!A:C,3,TRUE)</f>
        <v>41.99</v>
      </c>
      <c r="S161">
        <f t="shared" si="13"/>
        <v>41.99</v>
      </c>
      <c r="T161">
        <f t="shared" si="14"/>
        <v>41.99</v>
      </c>
    </row>
    <row r="162" spans="1:20">
      <c r="A162" s="61" t="s">
        <v>70</v>
      </c>
      <c r="B162" s="81" t="s">
        <v>490</v>
      </c>
      <c r="C162" s="69" t="s">
        <v>72</v>
      </c>
      <c r="D162" s="84" t="s">
        <v>531</v>
      </c>
      <c r="E162" s="37" t="s">
        <v>532</v>
      </c>
      <c r="F162" s="70" t="s">
        <v>227</v>
      </c>
      <c r="G162" s="61" t="s">
        <v>117</v>
      </c>
      <c r="H162" s="70" t="s">
        <v>118</v>
      </c>
      <c r="Q162" s="71">
        <f>VLOOKUP(D162,Sheet3!A:C,2,TRUE)</f>
        <v>49.99</v>
      </c>
      <c r="R162" s="71">
        <f>VLOOKUP(D162,Sheet3!A:C,3,TRUE)</f>
        <v>41.99</v>
      </c>
      <c r="S162">
        <f t="shared" si="13"/>
        <v>41.99</v>
      </c>
      <c r="T162">
        <f t="shared" si="14"/>
        <v>41.99</v>
      </c>
    </row>
    <row r="163" spans="1:20">
      <c r="A163" s="61" t="s">
        <v>70</v>
      </c>
      <c r="B163" s="82" t="s">
        <v>490</v>
      </c>
      <c r="C163" s="69" t="s">
        <v>72</v>
      </c>
      <c r="D163" s="84" t="s">
        <v>533</v>
      </c>
      <c r="E163" s="35" t="s">
        <v>534</v>
      </c>
      <c r="F163" s="70" t="s">
        <v>227</v>
      </c>
      <c r="G163" s="61" t="s">
        <v>117</v>
      </c>
      <c r="H163" s="70" t="s">
        <v>118</v>
      </c>
      <c r="Q163" s="71">
        <f>VLOOKUP(D163,Sheet3!A:C,2,TRUE)</f>
        <v>99.99</v>
      </c>
      <c r="R163" s="71">
        <f>VLOOKUP(D163,Sheet3!A:C,3,TRUE)</f>
        <v>59.99</v>
      </c>
      <c r="S163">
        <f t="shared" si="13"/>
        <v>59.99</v>
      </c>
      <c r="T163">
        <f t="shared" si="14"/>
        <v>59.99</v>
      </c>
    </row>
    <row r="164" spans="1:20">
      <c r="A164" s="61" t="s">
        <v>70</v>
      </c>
      <c r="B164" s="82" t="s">
        <v>490</v>
      </c>
      <c r="C164" s="69" t="s">
        <v>72</v>
      </c>
      <c r="D164" s="84" t="s">
        <v>535</v>
      </c>
      <c r="E164" s="35" t="s">
        <v>536</v>
      </c>
      <c r="F164" s="70" t="s">
        <v>227</v>
      </c>
      <c r="G164" s="61" t="s">
        <v>117</v>
      </c>
      <c r="H164" s="70" t="s">
        <v>118</v>
      </c>
      <c r="Q164" s="71">
        <f>VLOOKUP(D164,Sheet3!A:C,2,TRUE)</f>
        <v>99.99</v>
      </c>
      <c r="R164" s="71">
        <f>VLOOKUP(D164,Sheet3!A:C,3,TRUE)</f>
        <v>59.99</v>
      </c>
      <c r="S164">
        <f t="shared" si="13"/>
        <v>59.99</v>
      </c>
      <c r="T164">
        <f t="shared" si="14"/>
        <v>59.99</v>
      </c>
    </row>
    <row r="165" spans="1:20">
      <c r="A165" s="61" t="s">
        <v>70</v>
      </c>
      <c r="B165" s="82" t="s">
        <v>490</v>
      </c>
      <c r="C165" s="69" t="s">
        <v>72</v>
      </c>
      <c r="D165" s="84" t="s">
        <v>537</v>
      </c>
      <c r="E165" s="35" t="s">
        <v>538</v>
      </c>
      <c r="F165" s="70" t="s">
        <v>227</v>
      </c>
      <c r="G165" s="61" t="s">
        <v>117</v>
      </c>
      <c r="H165" s="70" t="s">
        <v>118</v>
      </c>
      <c r="Q165" s="71">
        <f>VLOOKUP(D165,Sheet3!A:C,2,TRUE)</f>
        <v>99.99</v>
      </c>
      <c r="R165" s="71">
        <f>VLOOKUP(D165,Sheet3!A:C,3,TRUE)</f>
        <v>59.99</v>
      </c>
      <c r="S165">
        <f t="shared" si="13"/>
        <v>59.99</v>
      </c>
      <c r="T165">
        <f t="shared" si="14"/>
        <v>59.99</v>
      </c>
    </row>
    <row r="166" spans="1:20">
      <c r="A166" s="61" t="s">
        <v>70</v>
      </c>
      <c r="B166" s="82" t="s">
        <v>490</v>
      </c>
      <c r="C166" s="69" t="s">
        <v>72</v>
      </c>
      <c r="D166" s="84" t="s">
        <v>539</v>
      </c>
      <c r="E166" s="35" t="s">
        <v>261</v>
      </c>
      <c r="F166" s="70" t="s">
        <v>227</v>
      </c>
      <c r="G166" s="61" t="s">
        <v>117</v>
      </c>
      <c r="H166" s="70" t="s">
        <v>118</v>
      </c>
      <c r="Q166" s="71">
        <f>VLOOKUP(D166,Sheet3!A:C,2,TRUE)</f>
        <v>99.99</v>
      </c>
      <c r="R166" s="71">
        <f>VLOOKUP(D166,Sheet3!A:C,3,TRUE)</f>
        <v>59.99</v>
      </c>
      <c r="S166">
        <f t="shared" si="13"/>
        <v>59.99</v>
      </c>
      <c r="T166">
        <f t="shared" si="14"/>
        <v>59.99</v>
      </c>
    </row>
    <row r="167" spans="1:20">
      <c r="A167" s="61" t="s">
        <v>70</v>
      </c>
      <c r="B167" s="82" t="s">
        <v>490</v>
      </c>
      <c r="C167" s="69" t="s">
        <v>72</v>
      </c>
      <c r="D167" s="84" t="s">
        <v>540</v>
      </c>
      <c r="E167" s="37" t="s">
        <v>541</v>
      </c>
      <c r="F167" s="70" t="s">
        <v>227</v>
      </c>
      <c r="G167" s="61" t="s">
        <v>117</v>
      </c>
      <c r="H167" s="70" t="s">
        <v>118</v>
      </c>
      <c r="Q167" s="71">
        <f>VLOOKUP(D167,Sheet3!A:C,2,TRUE)</f>
        <v>99.99</v>
      </c>
      <c r="R167" s="71">
        <f>VLOOKUP(D167,Sheet3!A:C,3,TRUE)</f>
        <v>59.99</v>
      </c>
      <c r="S167">
        <f t="shared" si="13"/>
        <v>59.99</v>
      </c>
      <c r="T167">
        <f t="shared" si="14"/>
        <v>59.99</v>
      </c>
    </row>
    <row r="168" spans="1:20">
      <c r="A168" s="61" t="s">
        <v>70</v>
      </c>
      <c r="B168" s="82" t="s">
        <v>490</v>
      </c>
      <c r="C168" s="69" t="s">
        <v>72</v>
      </c>
      <c r="D168" s="84" t="s">
        <v>542</v>
      </c>
      <c r="E168" s="37" t="s">
        <v>543</v>
      </c>
      <c r="F168" s="70" t="s">
        <v>227</v>
      </c>
      <c r="G168" s="61" t="s">
        <v>117</v>
      </c>
      <c r="H168" s="70" t="s">
        <v>118</v>
      </c>
      <c r="Q168" s="71">
        <f>VLOOKUP(D168,Sheet3!A:C,2,TRUE)</f>
        <v>99.99</v>
      </c>
      <c r="R168" s="71">
        <f>VLOOKUP(D168,Sheet3!A:C,3,TRUE)</f>
        <v>59.99</v>
      </c>
      <c r="S168">
        <f t="shared" si="13"/>
        <v>59.99</v>
      </c>
      <c r="T168">
        <f t="shared" si="14"/>
        <v>59.99</v>
      </c>
    </row>
    <row r="169" spans="1:20">
      <c r="A169" s="61" t="s">
        <v>70</v>
      </c>
      <c r="B169" s="82" t="s">
        <v>490</v>
      </c>
      <c r="C169" s="69" t="s">
        <v>72</v>
      </c>
      <c r="D169" s="84" t="s">
        <v>544</v>
      </c>
      <c r="E169" s="37" t="s">
        <v>545</v>
      </c>
      <c r="F169" s="70" t="s">
        <v>227</v>
      </c>
      <c r="G169" s="61" t="s">
        <v>117</v>
      </c>
      <c r="H169" s="70" t="s">
        <v>118</v>
      </c>
      <c r="Q169" s="71">
        <f>VLOOKUP(D169,Sheet3!A:C,2,TRUE)</f>
        <v>99.99</v>
      </c>
      <c r="R169" s="71">
        <f>VLOOKUP(D169,Sheet3!A:C,3,TRUE)</f>
        <v>59.99</v>
      </c>
      <c r="S169">
        <f t="shared" si="13"/>
        <v>59.99</v>
      </c>
      <c r="T169">
        <f t="shared" si="14"/>
        <v>59.99</v>
      </c>
    </row>
    <row r="170" spans="1:20">
      <c r="A170" s="61" t="s">
        <v>70</v>
      </c>
      <c r="B170" s="82" t="s">
        <v>490</v>
      </c>
      <c r="C170" s="69" t="s">
        <v>72</v>
      </c>
      <c r="D170" s="84" t="s">
        <v>546</v>
      </c>
      <c r="E170" s="37" t="s">
        <v>547</v>
      </c>
      <c r="F170" s="70" t="s">
        <v>227</v>
      </c>
      <c r="G170" s="61" t="s">
        <v>117</v>
      </c>
      <c r="H170" s="70" t="s">
        <v>118</v>
      </c>
      <c r="Q170" s="71">
        <f>VLOOKUP(D170,Sheet3!A:C,2,TRUE)</f>
        <v>44.98</v>
      </c>
      <c r="R170" s="71">
        <f>VLOOKUP(D170,Sheet3!A:C,3,TRUE)</f>
        <v>26.99</v>
      </c>
      <c r="S170">
        <f t="shared" si="13"/>
        <v>26.99</v>
      </c>
      <c r="T170">
        <f t="shared" si="14"/>
        <v>26.99</v>
      </c>
    </row>
    <row r="171" spans="1:20">
      <c r="A171" s="61" t="s">
        <v>70</v>
      </c>
      <c r="B171" s="82" t="s">
        <v>490</v>
      </c>
      <c r="C171" s="69" t="s">
        <v>72</v>
      </c>
      <c r="D171" s="84" t="s">
        <v>548</v>
      </c>
      <c r="E171" s="35" t="s">
        <v>549</v>
      </c>
      <c r="F171" s="70" t="s">
        <v>227</v>
      </c>
      <c r="G171" s="61" t="s">
        <v>117</v>
      </c>
      <c r="H171" s="70" t="s">
        <v>118</v>
      </c>
      <c r="Q171" s="71">
        <f>VLOOKUP(D171,Sheet3!A:C,2,TRUE)</f>
        <v>99.99</v>
      </c>
      <c r="R171" s="71">
        <f>VLOOKUP(D171,Sheet3!A:C,3,TRUE)</f>
        <v>59.99</v>
      </c>
      <c r="S171">
        <f t="shared" si="13"/>
        <v>59.99</v>
      </c>
      <c r="T171">
        <f t="shared" si="14"/>
        <v>59.99</v>
      </c>
    </row>
    <row r="172" spans="1:20">
      <c r="A172" s="61" t="s">
        <v>70</v>
      </c>
      <c r="B172" s="82" t="s">
        <v>490</v>
      </c>
      <c r="C172" s="69" t="s">
        <v>72</v>
      </c>
      <c r="D172" s="84" t="s">
        <v>550</v>
      </c>
      <c r="E172" s="1" t="s">
        <v>551</v>
      </c>
      <c r="F172" s="70" t="s">
        <v>227</v>
      </c>
      <c r="G172" s="61" t="s">
        <v>117</v>
      </c>
      <c r="H172" s="70" t="s">
        <v>118</v>
      </c>
      <c r="Q172" s="71">
        <f>VLOOKUP(D172,Sheet3!A:C,2,TRUE)</f>
        <v>49.99</v>
      </c>
      <c r="R172" s="71">
        <f>VLOOKUP(D172,Sheet3!A:C,3,TRUE)</f>
        <v>41.99</v>
      </c>
      <c r="S172">
        <f t="shared" si="13"/>
        <v>41.99</v>
      </c>
      <c r="T172">
        <f t="shared" si="14"/>
        <v>41.99</v>
      </c>
    </row>
    <row r="173" spans="1:20">
      <c r="A173" s="61" t="s">
        <v>70</v>
      </c>
      <c r="B173" s="82" t="s">
        <v>490</v>
      </c>
      <c r="C173" s="69" t="s">
        <v>72</v>
      </c>
      <c r="D173" s="84" t="s">
        <v>552</v>
      </c>
      <c r="E173" s="1" t="s">
        <v>553</v>
      </c>
      <c r="F173" s="70" t="s">
        <v>227</v>
      </c>
      <c r="G173" s="61" t="s">
        <v>117</v>
      </c>
      <c r="H173" s="70" t="s">
        <v>118</v>
      </c>
      <c r="Q173" s="71">
        <f>VLOOKUP(D173,Sheet3!A:C,2,TRUE)</f>
        <v>49.99</v>
      </c>
      <c r="R173" s="71">
        <f>VLOOKUP(D173,Sheet3!A:C,3,TRUE)</f>
        <v>41.99</v>
      </c>
      <c r="S173">
        <f t="shared" si="13"/>
        <v>41.99</v>
      </c>
      <c r="T173">
        <f t="shared" si="14"/>
        <v>41.99</v>
      </c>
    </row>
    <row r="174" spans="1:20">
      <c r="A174" s="61" t="s">
        <v>70</v>
      </c>
      <c r="B174" s="82" t="s">
        <v>490</v>
      </c>
      <c r="C174" s="69" t="s">
        <v>72</v>
      </c>
      <c r="D174" s="84" t="s">
        <v>554</v>
      </c>
      <c r="E174" s="1" t="s">
        <v>555</v>
      </c>
      <c r="F174" s="70" t="s">
        <v>227</v>
      </c>
      <c r="G174" s="61" t="s">
        <v>117</v>
      </c>
      <c r="H174" s="70" t="s">
        <v>118</v>
      </c>
      <c r="Q174" s="71">
        <f>VLOOKUP(D174,Sheet3!A:C,2,TRUE)</f>
        <v>49.99</v>
      </c>
      <c r="R174" s="71">
        <f>VLOOKUP(D174,Sheet3!A:C,3,TRUE)</f>
        <v>41.99</v>
      </c>
      <c r="S174">
        <f t="shared" si="13"/>
        <v>41.99</v>
      </c>
      <c r="T174">
        <f t="shared" si="14"/>
        <v>41.99</v>
      </c>
    </row>
    <row r="175" spans="1:20">
      <c r="A175" s="61" t="s">
        <v>70</v>
      </c>
      <c r="B175" s="82" t="s">
        <v>490</v>
      </c>
      <c r="C175" s="69" t="s">
        <v>72</v>
      </c>
      <c r="D175" s="84" t="s">
        <v>556</v>
      </c>
      <c r="E175" s="37" t="s">
        <v>557</v>
      </c>
      <c r="F175" s="70" t="s">
        <v>227</v>
      </c>
      <c r="G175" s="61" t="s">
        <v>117</v>
      </c>
      <c r="H175" s="70" t="s">
        <v>118</v>
      </c>
      <c r="Q175" s="71">
        <f>VLOOKUP(D175,Sheet3!A:C,2,TRUE)</f>
        <v>49.99</v>
      </c>
      <c r="R175" s="71">
        <f>VLOOKUP(D175,Sheet3!A:C,3,TRUE)</f>
        <v>41.99</v>
      </c>
      <c r="S175">
        <f t="shared" si="13"/>
        <v>41.99</v>
      </c>
      <c r="T175">
        <f t="shared" si="14"/>
        <v>41.99</v>
      </c>
    </row>
    <row r="176" spans="1:20">
      <c r="A176" s="61" t="s">
        <v>70</v>
      </c>
      <c r="B176" s="81" t="s">
        <v>490</v>
      </c>
      <c r="C176" s="69" t="s">
        <v>72</v>
      </c>
      <c r="D176" s="84" t="s">
        <v>518</v>
      </c>
      <c r="E176" s="38" t="s">
        <v>141</v>
      </c>
      <c r="F176" s="70" t="s">
        <v>227</v>
      </c>
      <c r="G176" s="61" t="s">
        <v>117</v>
      </c>
      <c r="H176" s="70" t="s">
        <v>118</v>
      </c>
      <c r="Q176" s="71">
        <f>VLOOKUP(D176,Sheet3!A:C,2,TRUE)</f>
        <v>49.99</v>
      </c>
      <c r="R176" s="71">
        <f>VLOOKUP(D176,Sheet3!A:C,3,TRUE)</f>
        <v>41.99</v>
      </c>
      <c r="S176">
        <f t="shared" si="13"/>
        <v>41.99</v>
      </c>
      <c r="T176">
        <f t="shared" si="14"/>
        <v>41.99</v>
      </c>
    </row>
    <row r="177" spans="1:20">
      <c r="A177" s="61" t="s">
        <v>70</v>
      </c>
      <c r="B177" s="81" t="s">
        <v>490</v>
      </c>
      <c r="C177" s="69" t="s">
        <v>72</v>
      </c>
      <c r="D177" s="84" t="s">
        <v>558</v>
      </c>
      <c r="E177" s="38" t="s">
        <v>141</v>
      </c>
      <c r="F177" s="70" t="s">
        <v>227</v>
      </c>
      <c r="G177" s="61" t="s">
        <v>117</v>
      </c>
      <c r="H177" s="70" t="s">
        <v>118</v>
      </c>
      <c r="Q177" s="71">
        <f>VLOOKUP(D177,Sheet3!A:C,2,TRUE)</f>
        <v>99.99</v>
      </c>
      <c r="R177" s="71">
        <f>VLOOKUP(D177,Sheet3!A:C,3,TRUE)</f>
        <v>59.99</v>
      </c>
      <c r="S177">
        <f t="shared" si="13"/>
        <v>59.99</v>
      </c>
      <c r="T177">
        <f t="shared" si="14"/>
        <v>59.99</v>
      </c>
    </row>
    <row r="178" spans="1:20">
      <c r="A178" s="61" t="s">
        <v>70</v>
      </c>
      <c r="B178" s="81" t="s">
        <v>490</v>
      </c>
      <c r="C178" s="69" t="s">
        <v>72</v>
      </c>
      <c r="D178" s="84" t="s">
        <v>559</v>
      </c>
      <c r="E178" s="38" t="s">
        <v>141</v>
      </c>
      <c r="F178" s="70" t="s">
        <v>227</v>
      </c>
      <c r="G178" s="61" t="s">
        <v>117</v>
      </c>
      <c r="H178" s="70" t="s">
        <v>118</v>
      </c>
      <c r="Q178" s="71">
        <f>VLOOKUP(D178,Sheet3!A:C,2,TRUE)</f>
        <v>99.99</v>
      </c>
      <c r="R178" s="71">
        <f>VLOOKUP(D178,Sheet3!A:C,3,TRUE)</f>
        <v>59.99</v>
      </c>
      <c r="S178">
        <f t="shared" si="13"/>
        <v>59.99</v>
      </c>
      <c r="T178">
        <f t="shared" si="14"/>
        <v>59.99</v>
      </c>
    </row>
    <row r="179" spans="1:20">
      <c r="A179" s="61" t="s">
        <v>70</v>
      </c>
      <c r="B179" s="5" t="s">
        <v>560</v>
      </c>
      <c r="C179" s="69" t="s">
        <v>72</v>
      </c>
      <c r="D179" s="84" t="s">
        <v>561</v>
      </c>
      <c r="E179" s="1" t="s">
        <v>216</v>
      </c>
      <c r="F179" s="70" t="s">
        <v>227</v>
      </c>
      <c r="G179" s="61" t="s">
        <v>117</v>
      </c>
      <c r="H179" s="70" t="s">
        <v>118</v>
      </c>
      <c r="Q179" s="71">
        <f>VLOOKUP(D179,Sheet3!A:C,2,TRUE)</f>
        <v>65.99</v>
      </c>
      <c r="R179" s="71">
        <f>VLOOKUP(D179,Sheet3!A:C,3,TRUE)</f>
        <v>45.99</v>
      </c>
      <c r="S179">
        <f t="shared" ref="S179:S214" si="15">R179</f>
        <v>45.99</v>
      </c>
      <c r="T179">
        <f t="shared" ref="T179:T214" si="16">S179</f>
        <v>45.99</v>
      </c>
    </row>
    <row r="180" spans="1:20">
      <c r="A180" s="61" t="s">
        <v>70</v>
      </c>
      <c r="B180" s="5" t="s">
        <v>560</v>
      </c>
      <c r="C180" s="69" t="s">
        <v>72</v>
      </c>
      <c r="D180" s="84" t="s">
        <v>562</v>
      </c>
      <c r="E180" s="1" t="s">
        <v>216</v>
      </c>
      <c r="F180" s="70" t="s">
        <v>227</v>
      </c>
      <c r="G180" s="61" t="s">
        <v>117</v>
      </c>
      <c r="H180" s="70" t="s">
        <v>118</v>
      </c>
      <c r="Q180" s="71">
        <f>VLOOKUP(D180,Sheet3!A:C,2,TRUE)</f>
        <v>49.99</v>
      </c>
      <c r="R180" s="71">
        <f>VLOOKUP(D180,Sheet3!A:C,3,TRUE)</f>
        <v>41.99</v>
      </c>
      <c r="S180">
        <f t="shared" si="15"/>
        <v>41.99</v>
      </c>
      <c r="T180">
        <f t="shared" si="16"/>
        <v>41.99</v>
      </c>
    </row>
    <row r="181" spans="1:20">
      <c r="A181" s="61" t="s">
        <v>70</v>
      </c>
      <c r="B181" s="5" t="s">
        <v>560</v>
      </c>
      <c r="C181" s="69" t="s">
        <v>72</v>
      </c>
      <c r="D181" s="84" t="s">
        <v>563</v>
      </c>
      <c r="E181" s="1" t="s">
        <v>216</v>
      </c>
      <c r="F181" s="70" t="s">
        <v>227</v>
      </c>
      <c r="G181" s="61" t="s">
        <v>117</v>
      </c>
      <c r="H181" s="70" t="s">
        <v>118</v>
      </c>
      <c r="Q181" s="71">
        <f>VLOOKUP(D181,Sheet3!A:C,2,TRUE)</f>
        <v>49.99</v>
      </c>
      <c r="R181" s="71">
        <f>VLOOKUP(D181,Sheet3!A:C,3,TRUE)</f>
        <v>41.99</v>
      </c>
      <c r="S181">
        <f t="shared" si="15"/>
        <v>41.99</v>
      </c>
      <c r="T181">
        <f t="shared" si="16"/>
        <v>41.99</v>
      </c>
    </row>
    <row r="182" spans="1:20">
      <c r="A182" s="61" t="s">
        <v>70</v>
      </c>
      <c r="B182" s="5" t="s">
        <v>560</v>
      </c>
      <c r="C182" s="69" t="s">
        <v>72</v>
      </c>
      <c r="D182" s="84" t="s">
        <v>564</v>
      </c>
      <c r="E182" s="1" t="s">
        <v>128</v>
      </c>
      <c r="F182" s="70" t="s">
        <v>227</v>
      </c>
      <c r="G182" s="61" t="s">
        <v>117</v>
      </c>
      <c r="H182" s="70" t="s">
        <v>118</v>
      </c>
      <c r="Q182" s="71">
        <f>VLOOKUP(D182,Sheet3!A:C,2,TRUE)</f>
        <v>49.99</v>
      </c>
      <c r="R182" s="71">
        <f>VLOOKUP(D182,Sheet3!A:C,3,TRUE)</f>
        <v>41.99</v>
      </c>
      <c r="S182">
        <f t="shared" si="15"/>
        <v>41.99</v>
      </c>
      <c r="T182">
        <f t="shared" si="16"/>
        <v>41.99</v>
      </c>
    </row>
    <row r="183" spans="1:20">
      <c r="A183" s="61" t="s">
        <v>70</v>
      </c>
      <c r="B183" s="5" t="s">
        <v>560</v>
      </c>
      <c r="C183" s="69" t="s">
        <v>72</v>
      </c>
      <c r="D183" s="84" t="s">
        <v>565</v>
      </c>
      <c r="E183" s="1" t="s">
        <v>128</v>
      </c>
      <c r="F183" s="70" t="s">
        <v>227</v>
      </c>
      <c r="G183" s="61" t="s">
        <v>117</v>
      </c>
      <c r="H183" s="70" t="s">
        <v>118</v>
      </c>
      <c r="Q183" s="71">
        <f>VLOOKUP(D183,Sheet3!A:C,2,TRUE)</f>
        <v>99.99</v>
      </c>
      <c r="R183" s="71">
        <f>VLOOKUP(D183,Sheet3!A:C,3,TRUE)</f>
        <v>59.99</v>
      </c>
      <c r="S183">
        <f t="shared" si="15"/>
        <v>59.99</v>
      </c>
      <c r="T183">
        <f t="shared" si="16"/>
        <v>59.99</v>
      </c>
    </row>
    <row r="184" spans="1:20">
      <c r="A184" s="61" t="s">
        <v>70</v>
      </c>
      <c r="B184" s="5" t="s">
        <v>560</v>
      </c>
      <c r="C184" s="69" t="s">
        <v>72</v>
      </c>
      <c r="D184" s="84" t="s">
        <v>566</v>
      </c>
      <c r="E184" s="1" t="s">
        <v>128</v>
      </c>
      <c r="F184" s="70" t="s">
        <v>227</v>
      </c>
      <c r="G184" s="61" t="s">
        <v>117</v>
      </c>
      <c r="H184" s="70" t="s">
        <v>118</v>
      </c>
      <c r="Q184" s="71">
        <f>VLOOKUP(D184,Sheet3!A:C,2,TRUE)</f>
        <v>99.99</v>
      </c>
      <c r="R184" s="71">
        <f>VLOOKUP(D184,Sheet3!A:C,3,TRUE)</f>
        <v>59.99</v>
      </c>
      <c r="S184">
        <f t="shared" si="15"/>
        <v>59.99</v>
      </c>
      <c r="T184">
        <f t="shared" si="16"/>
        <v>59.99</v>
      </c>
    </row>
    <row r="185" spans="1:20">
      <c r="A185" s="61" t="s">
        <v>70</v>
      </c>
      <c r="B185" s="5" t="s">
        <v>560</v>
      </c>
      <c r="C185" s="69" t="s">
        <v>72</v>
      </c>
      <c r="D185" s="84" t="s">
        <v>567</v>
      </c>
      <c r="E185" s="1" t="s">
        <v>97</v>
      </c>
      <c r="F185" s="70" t="s">
        <v>227</v>
      </c>
      <c r="G185" s="61" t="s">
        <v>117</v>
      </c>
      <c r="H185" s="70" t="s">
        <v>118</v>
      </c>
      <c r="Q185" s="71">
        <f>VLOOKUP(D185,Sheet3!A:C,2,TRUE)</f>
        <v>99.99</v>
      </c>
      <c r="R185" s="71">
        <f>VLOOKUP(D185,Sheet3!A:C,3,TRUE)</f>
        <v>59.99</v>
      </c>
      <c r="S185">
        <f t="shared" si="15"/>
        <v>59.99</v>
      </c>
      <c r="T185">
        <f t="shared" si="16"/>
        <v>59.99</v>
      </c>
    </row>
    <row r="186" spans="1:20">
      <c r="A186" s="61" t="s">
        <v>70</v>
      </c>
      <c r="B186" s="5" t="s">
        <v>560</v>
      </c>
      <c r="C186" s="69" t="s">
        <v>72</v>
      </c>
      <c r="D186" s="84" t="s">
        <v>568</v>
      </c>
      <c r="E186" s="1" t="s">
        <v>569</v>
      </c>
      <c r="F186" s="70" t="s">
        <v>227</v>
      </c>
      <c r="G186" s="61" t="s">
        <v>117</v>
      </c>
      <c r="H186" s="70" t="s">
        <v>118</v>
      </c>
      <c r="Q186" s="71">
        <f>VLOOKUP(D186,Sheet3!A:C,2,TRUE)</f>
        <v>49.99</v>
      </c>
      <c r="R186" s="71">
        <f>VLOOKUP(D186,Sheet3!A:C,3,TRUE)</f>
        <v>41.99</v>
      </c>
      <c r="S186">
        <f t="shared" si="15"/>
        <v>41.99</v>
      </c>
      <c r="T186">
        <f t="shared" si="16"/>
        <v>41.99</v>
      </c>
    </row>
    <row r="187" spans="1:20">
      <c r="A187" s="61" t="s">
        <v>70</v>
      </c>
      <c r="B187" s="5" t="s">
        <v>560</v>
      </c>
      <c r="C187" s="69" t="s">
        <v>72</v>
      </c>
      <c r="D187" s="84" t="s">
        <v>570</v>
      </c>
      <c r="E187" s="1" t="s">
        <v>157</v>
      </c>
      <c r="F187" s="70" t="s">
        <v>227</v>
      </c>
      <c r="G187" s="61" t="s">
        <v>117</v>
      </c>
      <c r="H187" s="70" t="s">
        <v>118</v>
      </c>
      <c r="Q187" s="71">
        <f>VLOOKUP(D187,Sheet3!A:C,2,TRUE)</f>
        <v>49.99</v>
      </c>
      <c r="R187" s="71">
        <f>VLOOKUP(D187,Sheet3!A:C,3,TRUE)</f>
        <v>41.99</v>
      </c>
      <c r="S187">
        <f t="shared" si="15"/>
        <v>41.99</v>
      </c>
      <c r="T187">
        <f t="shared" si="16"/>
        <v>41.99</v>
      </c>
    </row>
    <row r="188" spans="1:20">
      <c r="A188" s="61" t="s">
        <v>70</v>
      </c>
      <c r="B188" s="2" t="s">
        <v>560</v>
      </c>
      <c r="C188" s="69" t="s">
        <v>72</v>
      </c>
      <c r="D188" s="84" t="s">
        <v>571</v>
      </c>
      <c r="E188" s="2" t="s">
        <v>170</v>
      </c>
      <c r="F188" s="70" t="s">
        <v>227</v>
      </c>
      <c r="G188" s="61" t="s">
        <v>117</v>
      </c>
      <c r="H188" s="70" t="s">
        <v>118</v>
      </c>
      <c r="Q188" s="71">
        <f>VLOOKUP(D188,Sheet3!A:C,2,TRUE)</f>
        <v>65.99</v>
      </c>
      <c r="R188" s="71">
        <f>VLOOKUP(D188,Sheet3!A:C,3,TRUE)</f>
        <v>45.99</v>
      </c>
      <c r="S188">
        <f t="shared" si="15"/>
        <v>45.99</v>
      </c>
      <c r="T188">
        <f t="shared" si="16"/>
        <v>45.99</v>
      </c>
    </row>
    <row r="189" spans="1:20">
      <c r="A189" s="61" t="s">
        <v>70</v>
      </c>
      <c r="B189" s="5" t="s">
        <v>560</v>
      </c>
      <c r="C189" s="69" t="s">
        <v>72</v>
      </c>
      <c r="D189" s="84" t="s">
        <v>572</v>
      </c>
      <c r="E189" s="1" t="s">
        <v>179</v>
      </c>
      <c r="F189" s="70" t="s">
        <v>227</v>
      </c>
      <c r="G189" s="61" t="s">
        <v>117</v>
      </c>
      <c r="H189" s="70" t="s">
        <v>118</v>
      </c>
      <c r="Q189" s="71">
        <v>99.99</v>
      </c>
      <c r="R189" s="71">
        <v>45.99</v>
      </c>
      <c r="S189">
        <f t="shared" si="15"/>
        <v>45.99</v>
      </c>
      <c r="T189">
        <f t="shared" si="16"/>
        <v>45.99</v>
      </c>
    </row>
    <row r="190" spans="1:20">
      <c r="A190" s="61" t="s">
        <v>70</v>
      </c>
      <c r="B190" s="5" t="s">
        <v>560</v>
      </c>
      <c r="C190" s="69" t="s">
        <v>72</v>
      </c>
      <c r="D190" s="84" t="s">
        <v>573</v>
      </c>
      <c r="E190" s="1" t="s">
        <v>179</v>
      </c>
      <c r="F190" s="70" t="s">
        <v>227</v>
      </c>
      <c r="G190" s="61" t="s">
        <v>117</v>
      </c>
      <c r="H190" s="70" t="s">
        <v>118</v>
      </c>
      <c r="Q190" s="71">
        <f>VLOOKUP(D190,Sheet3!A:C,2,TRUE)</f>
        <v>99.99</v>
      </c>
      <c r="R190" s="71">
        <f>VLOOKUP(D190,Sheet3!A:C,3,TRUE)</f>
        <v>59.99</v>
      </c>
      <c r="S190">
        <f t="shared" si="15"/>
        <v>59.99</v>
      </c>
      <c r="T190">
        <f t="shared" si="16"/>
        <v>59.99</v>
      </c>
    </row>
    <row r="191" spans="1:20">
      <c r="A191" s="61" t="s">
        <v>70</v>
      </c>
      <c r="B191" s="5" t="s">
        <v>560</v>
      </c>
      <c r="C191" s="69" t="s">
        <v>72</v>
      </c>
      <c r="D191" s="84" t="s">
        <v>574</v>
      </c>
      <c r="E191" s="1" t="s">
        <v>206</v>
      </c>
      <c r="F191" s="70" t="s">
        <v>227</v>
      </c>
      <c r="G191" s="61" t="s">
        <v>117</v>
      </c>
      <c r="H191" s="70" t="s">
        <v>118</v>
      </c>
      <c r="Q191" s="71">
        <f>VLOOKUP(D191,Sheet3!A:C,2,TRUE)</f>
        <v>49.99</v>
      </c>
      <c r="R191" s="71">
        <f>VLOOKUP(D191,Sheet3!A:C,3,TRUE)</f>
        <v>41.99</v>
      </c>
      <c r="S191">
        <f t="shared" si="15"/>
        <v>41.99</v>
      </c>
      <c r="T191">
        <f t="shared" si="16"/>
        <v>41.99</v>
      </c>
    </row>
    <row r="192" spans="1:20">
      <c r="A192" s="61" t="s">
        <v>70</v>
      </c>
      <c r="B192" s="5" t="s">
        <v>560</v>
      </c>
      <c r="C192" s="69" t="s">
        <v>72</v>
      </c>
      <c r="D192" s="84" t="s">
        <v>575</v>
      </c>
      <c r="E192" s="1" t="s">
        <v>530</v>
      </c>
      <c r="F192" s="70" t="s">
        <v>227</v>
      </c>
      <c r="G192" s="61" t="s">
        <v>117</v>
      </c>
      <c r="H192" s="70" t="s">
        <v>118</v>
      </c>
      <c r="Q192" s="71">
        <f>VLOOKUP(D192,Sheet3!A:C,2,TRUE)</f>
        <v>49.99</v>
      </c>
      <c r="R192" s="71">
        <f>VLOOKUP(D192,Sheet3!A:C,3,TRUE)</f>
        <v>41.99</v>
      </c>
      <c r="S192">
        <f t="shared" si="15"/>
        <v>41.99</v>
      </c>
      <c r="T192">
        <f t="shared" si="16"/>
        <v>41.99</v>
      </c>
    </row>
    <row r="193" spans="1:20">
      <c r="A193" s="61" t="s">
        <v>70</v>
      </c>
      <c r="B193" s="5" t="s">
        <v>560</v>
      </c>
      <c r="C193" s="69" t="s">
        <v>72</v>
      </c>
      <c r="D193" s="84" t="s">
        <v>576</v>
      </c>
      <c r="E193" s="31" t="s">
        <v>194</v>
      </c>
      <c r="F193" s="70" t="s">
        <v>227</v>
      </c>
      <c r="G193" s="61" t="s">
        <v>117</v>
      </c>
      <c r="H193" s="70" t="s">
        <v>118</v>
      </c>
      <c r="Q193" s="71">
        <f>VLOOKUP(D193,Sheet3!A:C,2,TRUE)</f>
        <v>49.99</v>
      </c>
      <c r="R193" s="71">
        <f>VLOOKUP(D193,Sheet3!A:C,3,TRUE)</f>
        <v>41.99</v>
      </c>
      <c r="S193">
        <f t="shared" si="15"/>
        <v>41.99</v>
      </c>
      <c r="T193">
        <f t="shared" si="16"/>
        <v>41.99</v>
      </c>
    </row>
    <row r="194" spans="1:20">
      <c r="A194" s="61" t="s">
        <v>70</v>
      </c>
      <c r="B194" s="5" t="s">
        <v>560</v>
      </c>
      <c r="C194" s="69" t="s">
        <v>72</v>
      </c>
      <c r="D194" s="84" t="s">
        <v>577</v>
      </c>
      <c r="E194" s="31" t="s">
        <v>211</v>
      </c>
      <c r="F194" s="70" t="s">
        <v>227</v>
      </c>
      <c r="G194" s="61" t="s">
        <v>117</v>
      </c>
      <c r="H194" s="70" t="s">
        <v>118</v>
      </c>
      <c r="Q194" s="71">
        <f>VLOOKUP(D194,Sheet3!A:C,2,TRUE)</f>
        <v>49.99</v>
      </c>
      <c r="R194" s="71">
        <f>VLOOKUP(D194,Sheet3!A:C,3,TRUE)</f>
        <v>41.99</v>
      </c>
      <c r="S194">
        <f t="shared" si="15"/>
        <v>41.99</v>
      </c>
      <c r="T194">
        <f t="shared" si="16"/>
        <v>41.99</v>
      </c>
    </row>
    <row r="195" spans="1:20">
      <c r="A195" s="61" t="s">
        <v>70</v>
      </c>
      <c r="B195" s="5" t="s">
        <v>560</v>
      </c>
      <c r="C195" s="69" t="s">
        <v>72</v>
      </c>
      <c r="D195" s="84" t="s">
        <v>578</v>
      </c>
      <c r="E195" s="31" t="s">
        <v>201</v>
      </c>
      <c r="F195" s="70" t="s">
        <v>227</v>
      </c>
      <c r="G195" s="61" t="s">
        <v>117</v>
      </c>
      <c r="H195" s="70" t="s">
        <v>118</v>
      </c>
      <c r="Q195" s="71">
        <f>VLOOKUP(D195,Sheet3!A:C,2,TRUE)</f>
        <v>49.99</v>
      </c>
      <c r="R195" s="71">
        <f>VLOOKUP(D195,Sheet3!A:C,3,TRUE)</f>
        <v>41.99</v>
      </c>
      <c r="S195">
        <f t="shared" si="15"/>
        <v>41.99</v>
      </c>
      <c r="T195">
        <f t="shared" si="16"/>
        <v>41.99</v>
      </c>
    </row>
    <row r="196" spans="1:20">
      <c r="A196" s="61" t="s">
        <v>70</v>
      </c>
      <c r="B196" s="5" t="s">
        <v>560</v>
      </c>
      <c r="C196" s="69" t="s">
        <v>72</v>
      </c>
      <c r="D196" s="84" t="s">
        <v>579</v>
      </c>
      <c r="E196" s="31" t="s">
        <v>507</v>
      </c>
      <c r="F196" s="70" t="s">
        <v>227</v>
      </c>
      <c r="G196" s="61" t="s">
        <v>117</v>
      </c>
      <c r="H196" s="70" t="s">
        <v>118</v>
      </c>
      <c r="Q196" s="71">
        <f>VLOOKUP(D196,Sheet3!A:C,2,TRUE)</f>
        <v>49.99</v>
      </c>
      <c r="R196" s="71">
        <f>VLOOKUP(D196,Sheet3!A:C,3,TRUE)</f>
        <v>41.99</v>
      </c>
      <c r="S196">
        <f t="shared" si="15"/>
        <v>41.99</v>
      </c>
      <c r="T196">
        <f t="shared" si="16"/>
        <v>41.99</v>
      </c>
    </row>
    <row r="197" spans="1:20">
      <c r="A197" s="61" t="s">
        <v>70</v>
      </c>
      <c r="B197" s="5" t="s">
        <v>560</v>
      </c>
      <c r="C197" s="69" t="s">
        <v>72</v>
      </c>
      <c r="D197" s="84" t="s">
        <v>580</v>
      </c>
      <c r="E197" s="31" t="s">
        <v>509</v>
      </c>
      <c r="F197" s="70" t="s">
        <v>227</v>
      </c>
      <c r="G197" s="61" t="s">
        <v>117</v>
      </c>
      <c r="H197" s="70" t="s">
        <v>118</v>
      </c>
      <c r="Q197" s="71">
        <f>VLOOKUP(D197,Sheet3!A:C,2,TRUE)</f>
        <v>49.99</v>
      </c>
      <c r="R197" s="71">
        <f>VLOOKUP(D197,Sheet3!A:C,3,TRUE)</f>
        <v>41.99</v>
      </c>
      <c r="S197">
        <f t="shared" si="15"/>
        <v>41.99</v>
      </c>
      <c r="T197">
        <f t="shared" si="16"/>
        <v>41.99</v>
      </c>
    </row>
    <row r="198" spans="1:20">
      <c r="A198" s="61" t="s">
        <v>70</v>
      </c>
      <c r="B198" s="5" t="s">
        <v>560</v>
      </c>
      <c r="C198" s="69" t="s">
        <v>72</v>
      </c>
      <c r="D198" s="84" t="s">
        <v>581</v>
      </c>
      <c r="E198" s="5" t="s">
        <v>141</v>
      </c>
      <c r="F198" s="70" t="s">
        <v>227</v>
      </c>
      <c r="G198" s="61" t="s">
        <v>117</v>
      </c>
      <c r="H198" s="70" t="s">
        <v>118</v>
      </c>
      <c r="Q198" s="71">
        <f>VLOOKUP(D198,Sheet3!A:C,2,TRUE)</f>
        <v>49.99</v>
      </c>
      <c r="R198" s="71">
        <f>VLOOKUP(D198,Sheet3!A:C,3,TRUE)</f>
        <v>41.99</v>
      </c>
      <c r="S198">
        <f t="shared" si="15"/>
        <v>41.99</v>
      </c>
      <c r="T198">
        <f t="shared" si="16"/>
        <v>41.99</v>
      </c>
    </row>
    <row r="199" spans="1:20">
      <c r="A199" s="61" t="s">
        <v>70</v>
      </c>
      <c r="B199" s="5" t="s">
        <v>560</v>
      </c>
      <c r="C199" s="69" t="s">
        <v>72</v>
      </c>
      <c r="D199" s="84" t="s">
        <v>582</v>
      </c>
      <c r="E199" s="5" t="s">
        <v>141</v>
      </c>
      <c r="F199" s="70" t="s">
        <v>227</v>
      </c>
      <c r="G199" s="61" t="s">
        <v>117</v>
      </c>
      <c r="H199" s="70" t="s">
        <v>118</v>
      </c>
      <c r="Q199" s="71">
        <f>VLOOKUP(D199,Sheet3!A:C,2,TRUE)</f>
        <v>99.99</v>
      </c>
      <c r="R199" s="71">
        <f>VLOOKUP(D199,Sheet3!A:C,3,TRUE)</f>
        <v>59.99</v>
      </c>
      <c r="S199">
        <f t="shared" si="15"/>
        <v>59.99</v>
      </c>
      <c r="T199">
        <f t="shared" si="16"/>
        <v>59.99</v>
      </c>
    </row>
    <row r="200" spans="1:20">
      <c r="A200" s="61" t="s">
        <v>70</v>
      </c>
      <c r="B200" s="5" t="s">
        <v>560</v>
      </c>
      <c r="C200" s="69" t="s">
        <v>72</v>
      </c>
      <c r="D200" s="84" t="s">
        <v>583</v>
      </c>
      <c r="E200" s="5" t="s">
        <v>141</v>
      </c>
      <c r="F200" s="70" t="s">
        <v>227</v>
      </c>
      <c r="G200" s="61" t="s">
        <v>117</v>
      </c>
      <c r="H200" s="70" t="s">
        <v>118</v>
      </c>
      <c r="Q200" s="71">
        <f>VLOOKUP(D200,Sheet3!A:C,2,TRUE)</f>
        <v>99.99</v>
      </c>
      <c r="R200" s="71">
        <f>VLOOKUP(D200,Sheet3!A:C,3,TRUE)</f>
        <v>59.99</v>
      </c>
      <c r="S200">
        <f t="shared" si="15"/>
        <v>59.99</v>
      </c>
      <c r="T200">
        <f t="shared" si="16"/>
        <v>59.99</v>
      </c>
    </row>
    <row r="201" spans="1:20">
      <c r="A201" s="61" t="s">
        <v>70</v>
      </c>
      <c r="B201" s="5" t="s">
        <v>560</v>
      </c>
      <c r="C201" s="69" t="s">
        <v>72</v>
      </c>
      <c r="D201" s="84" t="s">
        <v>584</v>
      </c>
      <c r="E201" s="5" t="s">
        <v>141</v>
      </c>
      <c r="F201" s="70" t="s">
        <v>227</v>
      </c>
      <c r="G201" s="61" t="s">
        <v>117</v>
      </c>
      <c r="H201" s="70" t="s">
        <v>118</v>
      </c>
      <c r="Q201" s="71">
        <f>VLOOKUP(D201,Sheet3!A:C,2,TRUE)</f>
        <v>99.99</v>
      </c>
      <c r="R201" s="71">
        <f>VLOOKUP(D201,Sheet3!A:C,3,TRUE)</f>
        <v>59.99</v>
      </c>
      <c r="S201">
        <f t="shared" si="15"/>
        <v>59.99</v>
      </c>
      <c r="T201">
        <f t="shared" si="16"/>
        <v>59.99</v>
      </c>
    </row>
    <row r="202" spans="1:20">
      <c r="A202" s="61" t="s">
        <v>70</v>
      </c>
      <c r="B202" s="5" t="s">
        <v>560</v>
      </c>
      <c r="C202" s="69" t="s">
        <v>72</v>
      </c>
      <c r="D202" s="84" t="s">
        <v>585</v>
      </c>
      <c r="E202" s="1" t="s">
        <v>150</v>
      </c>
      <c r="F202" s="70" t="s">
        <v>227</v>
      </c>
      <c r="G202" s="61" t="s">
        <v>117</v>
      </c>
      <c r="H202" s="70" t="s">
        <v>118</v>
      </c>
      <c r="Q202" s="71">
        <f>VLOOKUP(D202,Sheet3!A:C,2,TRUE)</f>
        <v>99.99</v>
      </c>
      <c r="R202" s="71">
        <f>VLOOKUP(D202,Sheet3!A:C,3,TRUE)</f>
        <v>59.99</v>
      </c>
      <c r="S202">
        <f t="shared" si="15"/>
        <v>59.99</v>
      </c>
      <c r="T202">
        <f t="shared" si="16"/>
        <v>59.99</v>
      </c>
    </row>
    <row r="203" spans="1:20">
      <c r="A203" s="61" t="s">
        <v>70</v>
      </c>
      <c r="B203" s="5" t="s">
        <v>560</v>
      </c>
      <c r="C203" s="69" t="s">
        <v>72</v>
      </c>
      <c r="D203" s="84" t="s">
        <v>586</v>
      </c>
      <c r="E203" s="1" t="s">
        <v>538</v>
      </c>
      <c r="F203" s="70" t="s">
        <v>227</v>
      </c>
      <c r="G203" s="61" t="s">
        <v>117</v>
      </c>
      <c r="H203" s="70" t="s">
        <v>118</v>
      </c>
      <c r="Q203" s="71">
        <f>VLOOKUP(D203,Sheet3!A:C,2,TRUE)</f>
        <v>99.99</v>
      </c>
      <c r="R203" s="71">
        <f>VLOOKUP(D203,Sheet3!A:C,3,TRUE)</f>
        <v>59.99</v>
      </c>
      <c r="S203">
        <f t="shared" si="15"/>
        <v>59.99</v>
      </c>
      <c r="T203">
        <f t="shared" si="16"/>
        <v>59.99</v>
      </c>
    </row>
    <row r="204" spans="1:20">
      <c r="A204" s="61" t="s">
        <v>70</v>
      </c>
      <c r="B204" s="5" t="s">
        <v>560</v>
      </c>
      <c r="C204" s="69" t="s">
        <v>72</v>
      </c>
      <c r="D204" s="84" t="s">
        <v>587</v>
      </c>
      <c r="E204" s="1" t="s">
        <v>261</v>
      </c>
      <c r="F204" s="70" t="s">
        <v>227</v>
      </c>
      <c r="G204" s="61" t="s">
        <v>117</v>
      </c>
      <c r="H204" s="70" t="s">
        <v>118</v>
      </c>
      <c r="Q204" s="71">
        <f>VLOOKUP(D204,Sheet3!A:C,2,TRUE)</f>
        <v>99.99</v>
      </c>
      <c r="R204" s="71">
        <f>VLOOKUP(D204,Sheet3!A:C,3,TRUE)</f>
        <v>59.99</v>
      </c>
      <c r="S204">
        <f t="shared" si="15"/>
        <v>59.99</v>
      </c>
      <c r="T204">
        <f t="shared" si="16"/>
        <v>59.99</v>
      </c>
    </row>
    <row r="205" spans="1:20">
      <c r="A205" s="61" t="s">
        <v>70</v>
      </c>
      <c r="B205" s="5" t="s">
        <v>560</v>
      </c>
      <c r="C205" s="69" t="s">
        <v>72</v>
      </c>
      <c r="D205" s="84" t="s">
        <v>588</v>
      </c>
      <c r="E205" s="1" t="s">
        <v>541</v>
      </c>
      <c r="F205" s="70" t="s">
        <v>227</v>
      </c>
      <c r="G205" s="61" t="s">
        <v>117</v>
      </c>
      <c r="H205" s="70" t="s">
        <v>118</v>
      </c>
      <c r="Q205" s="71">
        <f>VLOOKUP(D205,Sheet3!A:C,2,TRUE)</f>
        <v>99.99</v>
      </c>
      <c r="R205" s="71">
        <f>VLOOKUP(D205,Sheet3!A:C,3,TRUE)</f>
        <v>59.99</v>
      </c>
      <c r="S205">
        <f t="shared" si="15"/>
        <v>59.99</v>
      </c>
      <c r="T205">
        <f t="shared" si="16"/>
        <v>59.99</v>
      </c>
    </row>
    <row r="206" spans="1:20">
      <c r="A206" s="61" t="s">
        <v>70</v>
      </c>
      <c r="B206" s="5" t="s">
        <v>560</v>
      </c>
      <c r="C206" s="69" t="s">
        <v>72</v>
      </c>
      <c r="D206" s="84" t="s">
        <v>589</v>
      </c>
      <c r="E206" s="31" t="s">
        <v>590</v>
      </c>
      <c r="F206" s="70" t="s">
        <v>227</v>
      </c>
      <c r="G206" s="61" t="s">
        <v>117</v>
      </c>
      <c r="H206" s="70" t="s">
        <v>118</v>
      </c>
      <c r="Q206" s="71">
        <f>VLOOKUP(D206,Sheet3!A:C,2,TRUE)</f>
        <v>99.99</v>
      </c>
      <c r="R206" s="71">
        <f>VLOOKUP(D206,Sheet3!A:C,3,TRUE)</f>
        <v>59.99</v>
      </c>
      <c r="S206">
        <f t="shared" si="15"/>
        <v>59.99</v>
      </c>
      <c r="T206">
        <f t="shared" si="16"/>
        <v>59.99</v>
      </c>
    </row>
    <row r="207" spans="1:20">
      <c r="A207" s="61" t="s">
        <v>70</v>
      </c>
      <c r="B207" s="5" t="s">
        <v>560</v>
      </c>
      <c r="C207" s="69" t="s">
        <v>72</v>
      </c>
      <c r="D207" s="84" t="s">
        <v>591</v>
      </c>
      <c r="E207" s="39" t="s">
        <v>592</v>
      </c>
      <c r="F207" s="70" t="s">
        <v>227</v>
      </c>
      <c r="G207" s="61" t="s">
        <v>117</v>
      </c>
      <c r="H207" s="70" t="s">
        <v>118</v>
      </c>
      <c r="Q207" s="71">
        <f>VLOOKUP(D207,Sheet3!A:C,2,TRUE)</f>
        <v>99.99</v>
      </c>
      <c r="R207" s="71">
        <f>VLOOKUP(D207,Sheet3!A:C,3,TRUE)</f>
        <v>59.99</v>
      </c>
      <c r="S207">
        <f t="shared" si="15"/>
        <v>59.99</v>
      </c>
      <c r="T207">
        <f t="shared" si="16"/>
        <v>59.99</v>
      </c>
    </row>
    <row r="208" spans="1:20">
      <c r="A208" s="61" t="s">
        <v>70</v>
      </c>
      <c r="B208" s="5" t="s">
        <v>560</v>
      </c>
      <c r="C208" s="69" t="s">
        <v>72</v>
      </c>
      <c r="D208" s="84" t="s">
        <v>593</v>
      </c>
      <c r="E208" s="39" t="s">
        <v>594</v>
      </c>
      <c r="F208" s="70" t="s">
        <v>227</v>
      </c>
      <c r="G208" s="61" t="s">
        <v>117</v>
      </c>
      <c r="H208" s="70" t="s">
        <v>118</v>
      </c>
      <c r="Q208" s="71">
        <f>VLOOKUP(D208,Sheet3!A:C,2,TRUE)</f>
        <v>99.99</v>
      </c>
      <c r="R208" s="71">
        <f>VLOOKUP(D208,Sheet3!A:C,3,TRUE)</f>
        <v>59.99</v>
      </c>
      <c r="S208">
        <f t="shared" si="15"/>
        <v>59.99</v>
      </c>
      <c r="T208">
        <f t="shared" si="16"/>
        <v>59.99</v>
      </c>
    </row>
    <row r="209" spans="1:20">
      <c r="A209" s="61" t="s">
        <v>70</v>
      </c>
      <c r="B209" s="5" t="s">
        <v>560</v>
      </c>
      <c r="C209" s="69" t="s">
        <v>72</v>
      </c>
      <c r="D209" s="84" t="s">
        <v>595</v>
      </c>
      <c r="E209" s="10" t="s">
        <v>596</v>
      </c>
      <c r="F209" s="70" t="s">
        <v>227</v>
      </c>
      <c r="G209" s="61" t="s">
        <v>117</v>
      </c>
      <c r="H209" s="70" t="s">
        <v>118</v>
      </c>
      <c r="Q209" s="71">
        <f>VLOOKUP(D209,Sheet3!A:C,2,TRUE)</f>
        <v>99.99</v>
      </c>
      <c r="R209" s="71">
        <f>VLOOKUP(D209,Sheet3!A:C,3,TRUE)</f>
        <v>59.99</v>
      </c>
      <c r="S209">
        <f t="shared" si="15"/>
        <v>59.99</v>
      </c>
      <c r="T209">
        <f t="shared" si="16"/>
        <v>59.99</v>
      </c>
    </row>
    <row r="210" spans="1:20">
      <c r="A210" s="61" t="s">
        <v>70</v>
      </c>
      <c r="B210" s="5" t="s">
        <v>560</v>
      </c>
      <c r="C210" s="69" t="s">
        <v>72</v>
      </c>
      <c r="D210" s="84" t="s">
        <v>597</v>
      </c>
      <c r="E210" s="10" t="s">
        <v>598</v>
      </c>
      <c r="F210" s="70" t="s">
        <v>227</v>
      </c>
      <c r="G210" s="61" t="s">
        <v>117</v>
      </c>
      <c r="H210" s="70" t="s">
        <v>118</v>
      </c>
      <c r="Q210" s="71">
        <f>VLOOKUP(D210,Sheet3!A:C,2,TRUE)</f>
        <v>99.99</v>
      </c>
      <c r="R210" s="71">
        <f>VLOOKUP(D210,Sheet3!A:C,3,TRUE)</f>
        <v>59.99</v>
      </c>
      <c r="S210">
        <f t="shared" si="15"/>
        <v>59.99</v>
      </c>
      <c r="T210">
        <f t="shared" si="16"/>
        <v>59.99</v>
      </c>
    </row>
    <row r="211" spans="1:20">
      <c r="A211" s="61" t="s">
        <v>70</v>
      </c>
      <c r="B211" s="5" t="s">
        <v>560</v>
      </c>
      <c r="C211" s="69" t="s">
        <v>72</v>
      </c>
      <c r="D211" s="84" t="s">
        <v>599</v>
      </c>
      <c r="E211" s="10" t="s">
        <v>250</v>
      </c>
      <c r="F211" s="70" t="s">
        <v>227</v>
      </c>
      <c r="G211" s="61" t="s">
        <v>117</v>
      </c>
      <c r="H211" s="70" t="s">
        <v>118</v>
      </c>
      <c r="Q211" s="71">
        <f>VLOOKUP(D211,Sheet3!A:C,2,TRUE)</f>
        <v>99.99</v>
      </c>
      <c r="R211" s="71">
        <f>VLOOKUP(D211,Sheet3!A:C,3,TRUE)</f>
        <v>59.99</v>
      </c>
      <c r="S211">
        <f t="shared" si="15"/>
        <v>59.99</v>
      </c>
      <c r="T211">
        <f t="shared" si="16"/>
        <v>59.99</v>
      </c>
    </row>
    <row r="212" spans="1:20">
      <c r="A212" s="61" t="s">
        <v>70</v>
      </c>
      <c r="B212" s="5" t="s">
        <v>560</v>
      </c>
      <c r="C212" s="69" t="s">
        <v>72</v>
      </c>
      <c r="D212" s="84" t="s">
        <v>600</v>
      </c>
      <c r="E212" s="42" t="s">
        <v>601</v>
      </c>
      <c r="F212" s="70" t="s">
        <v>227</v>
      </c>
      <c r="G212" s="61" t="s">
        <v>117</v>
      </c>
      <c r="H212" s="70" t="s">
        <v>118</v>
      </c>
      <c r="Q212" s="71">
        <f>VLOOKUP(D212,Sheet3!A:C,2,TRUE)</f>
        <v>99.99</v>
      </c>
      <c r="R212" s="71">
        <f>VLOOKUP(D212,Sheet3!A:C,3,TRUE)</f>
        <v>59.99</v>
      </c>
      <c r="S212">
        <f t="shared" si="15"/>
        <v>59.99</v>
      </c>
      <c r="T212">
        <f t="shared" si="16"/>
        <v>59.99</v>
      </c>
    </row>
    <row r="213" spans="1:20">
      <c r="A213" s="61" t="s">
        <v>70</v>
      </c>
      <c r="B213" s="5" t="s">
        <v>560</v>
      </c>
      <c r="C213" s="69" t="s">
        <v>72</v>
      </c>
      <c r="D213" s="84" t="s">
        <v>602</v>
      </c>
      <c r="E213" s="10" t="s">
        <v>250</v>
      </c>
      <c r="F213" s="70" t="s">
        <v>227</v>
      </c>
      <c r="G213" s="61" t="s">
        <v>117</v>
      </c>
      <c r="H213" s="70" t="s">
        <v>118</v>
      </c>
      <c r="Q213" s="71">
        <f>VLOOKUP(D213,Sheet3!A:C,2,TRUE)</f>
        <v>99.99</v>
      </c>
      <c r="R213" s="71">
        <f>VLOOKUP(D213,Sheet3!A:C,3,TRUE)</f>
        <v>59.99</v>
      </c>
      <c r="S213">
        <f t="shared" si="15"/>
        <v>59.99</v>
      </c>
      <c r="T213">
        <f t="shared" si="16"/>
        <v>59.99</v>
      </c>
    </row>
    <row r="214" spans="1:20">
      <c r="A214" s="61" t="s">
        <v>70</v>
      </c>
      <c r="B214" s="5" t="s">
        <v>560</v>
      </c>
      <c r="C214" s="69" t="s">
        <v>72</v>
      </c>
      <c r="D214" s="84" t="s">
        <v>587</v>
      </c>
      <c r="E214" s="1" t="s">
        <v>261</v>
      </c>
      <c r="F214" s="70" t="s">
        <v>227</v>
      </c>
      <c r="G214" s="61" t="s">
        <v>117</v>
      </c>
      <c r="H214" s="70" t="s">
        <v>118</v>
      </c>
      <c r="Q214" s="71">
        <f>VLOOKUP(D214,Sheet3!A:C,2,TRUE)</f>
        <v>99.99</v>
      </c>
      <c r="R214" s="71">
        <f>VLOOKUP(D214,Sheet3!A:C,3,TRUE)</f>
        <v>59.99</v>
      </c>
      <c r="S214">
        <f t="shared" si="15"/>
        <v>59.99</v>
      </c>
      <c r="T214">
        <f t="shared" si="16"/>
        <v>59.99</v>
      </c>
    </row>
    <row r="215" spans="1:20">
      <c r="Q215" s="71"/>
    </row>
    <row r="216" spans="1:20">
      <c r="Q216" s="71"/>
    </row>
    <row r="217" spans="1:20">
      <c r="Q217" s="71"/>
    </row>
    <row r="218" spans="1:20">
      <c r="Q218" s="71"/>
    </row>
    <row r="219" spans="1:20">
      <c r="Q219" s="71"/>
    </row>
    <row r="220" spans="1:20">
      <c r="Q220" s="71"/>
    </row>
    <row r="221" spans="1:20">
      <c r="Q221" s="71"/>
    </row>
  </sheetData>
  <autoFilter xmlns:etc="http://www.wps.cn/officeDocument/2017/etCustomData" ref="A4:AH134" etc:filterBottomFollowUsedRange="0">
    <extLst/>
  </autoFilter>
  <mergeCells count="2">
    <mergeCell ref="A1:E1"/>
    <mergeCell ref="A2:E2"/>
  </mergeCells>
  <dataValidations count="1">
    <dataValidation type="list" sqref="J14 J15 J18 J35 J36 J38 J40 J42 J47 J48 J49 J50 J55 J93 J96 J101 J108 J111 J126 J127 J129 J132 J133 J134 J5:J8 J9:J11 J12:J13 J16:J17 J19:J20 J22:J24 J26:J28 J30:J34 J43:J44 J83:J84 J94:J95 J97:J99">
      <formula1>"春,夏,秋,冬,春,夏,秋,冬"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showGridLines="0" topLeftCell="A19" workbookViewId="0">
      <selection activeCell="A1" sqref="A1"/>
    </sheetView>
  </sheetViews>
  <sheetFormatPr defaultColWidth="9" defaultRowHeight="14.25" outlineLevelCol="6"/>
  <cols>
    <col min="1" max="1" width="20" customWidth="1"/>
    <col min="2" max="2" width="22" customWidth="1"/>
    <col min="3" max="3" width="16" customWidth="1"/>
    <col min="4" max="4" width="18" customWidth="1"/>
    <col min="5" max="5" width="12" customWidth="1"/>
    <col min="6" max="6" width="50" customWidth="1"/>
    <col min="7" max="7" width="38" customWidth="1"/>
  </cols>
  <sheetData>
    <row r="1" spans="1:7">
      <c r="A1" s="58" t="s">
        <v>603</v>
      </c>
      <c r="B1" s="58" t="s">
        <v>604</v>
      </c>
      <c r="C1" s="58" t="s">
        <v>605</v>
      </c>
      <c r="D1" s="58" t="s">
        <v>606</v>
      </c>
      <c r="E1" s="58" t="s">
        <v>607</v>
      </c>
      <c r="F1" s="58" t="s">
        <v>608</v>
      </c>
      <c r="G1" s="59" t="s">
        <v>609</v>
      </c>
    </row>
    <row r="2" spans="1:7">
      <c r="A2" s="60" t="s">
        <v>2</v>
      </c>
      <c r="B2" s="60" t="s">
        <v>610</v>
      </c>
      <c r="C2" s="60" t="s">
        <v>611</v>
      </c>
      <c r="D2" s="60" t="s">
        <v>612</v>
      </c>
      <c r="E2" s="60" t="s">
        <v>612</v>
      </c>
      <c r="F2" s="60" t="s">
        <v>610</v>
      </c>
      <c r="G2" s="60" t="s">
        <v>70</v>
      </c>
    </row>
    <row r="3" spans="1:7">
      <c r="A3" s="60" t="s">
        <v>3</v>
      </c>
      <c r="B3" s="60" t="s">
        <v>613</v>
      </c>
      <c r="C3" s="60" t="s">
        <v>611</v>
      </c>
      <c r="D3" s="60" t="s">
        <v>612</v>
      </c>
      <c r="E3" s="60" t="s">
        <v>612</v>
      </c>
      <c r="F3" s="60" t="s">
        <v>613</v>
      </c>
      <c r="G3" s="60" t="s">
        <v>71</v>
      </c>
    </row>
    <row r="4" spans="1:7">
      <c r="A4" s="60" t="s">
        <v>4</v>
      </c>
      <c r="B4" s="60" t="s">
        <v>614</v>
      </c>
      <c r="C4" s="60" t="s">
        <v>611</v>
      </c>
      <c r="D4" s="60" t="s">
        <v>615</v>
      </c>
      <c r="E4" s="60" t="s">
        <v>616</v>
      </c>
      <c r="F4" s="60" t="s">
        <v>617</v>
      </c>
      <c r="G4" s="60" t="s">
        <v>72</v>
      </c>
    </row>
    <row r="5" spans="1:7">
      <c r="A5" s="60" t="s">
        <v>5</v>
      </c>
      <c r="B5" s="60" t="s">
        <v>618</v>
      </c>
      <c r="C5" s="60" t="s">
        <v>611</v>
      </c>
      <c r="D5" s="60" t="s">
        <v>612</v>
      </c>
      <c r="E5" s="60" t="s">
        <v>612</v>
      </c>
      <c r="F5" s="60" t="s">
        <v>619</v>
      </c>
      <c r="G5" s="61" t="s">
        <v>73</v>
      </c>
    </row>
    <row r="6" spans="1:7">
      <c r="A6" s="60" t="s">
        <v>6</v>
      </c>
      <c r="B6" s="60" t="s">
        <v>40</v>
      </c>
      <c r="C6" s="60" t="s">
        <v>611</v>
      </c>
      <c r="D6" s="60" t="s">
        <v>612</v>
      </c>
      <c r="E6" s="60" t="s">
        <v>616</v>
      </c>
      <c r="F6" s="60" t="s">
        <v>40</v>
      </c>
      <c r="G6" s="60" t="s">
        <v>74</v>
      </c>
    </row>
    <row r="7" spans="1:7">
      <c r="A7" s="60" t="s">
        <v>620</v>
      </c>
      <c r="B7" s="60" t="s">
        <v>621</v>
      </c>
      <c r="C7" s="60" t="s">
        <v>611</v>
      </c>
      <c r="D7" s="60" t="s">
        <v>612</v>
      </c>
      <c r="E7" s="60" t="s">
        <v>616</v>
      </c>
      <c r="F7" s="60" t="s">
        <v>621</v>
      </c>
      <c r="G7" s="60" t="s">
        <v>622</v>
      </c>
    </row>
    <row r="8" spans="1:7">
      <c r="A8" s="60" t="s">
        <v>623</v>
      </c>
      <c r="B8" s="60" t="s">
        <v>624</v>
      </c>
      <c r="C8" s="60" t="s">
        <v>611</v>
      </c>
      <c r="D8" s="60" t="s">
        <v>612</v>
      </c>
      <c r="E8" s="60" t="s">
        <v>616</v>
      </c>
      <c r="F8" s="60" t="s">
        <v>625</v>
      </c>
      <c r="G8" s="60" t="s">
        <v>74</v>
      </c>
    </row>
    <row r="9" spans="1:7">
      <c r="A9" s="60" t="s">
        <v>626</v>
      </c>
      <c r="B9" s="60" t="s">
        <v>627</v>
      </c>
      <c r="C9" s="60" t="s">
        <v>611</v>
      </c>
      <c r="D9" s="60" t="s">
        <v>612</v>
      </c>
      <c r="E9" s="60" t="s">
        <v>616</v>
      </c>
      <c r="F9" s="60" t="s">
        <v>627</v>
      </c>
      <c r="G9" s="60" t="s">
        <v>628</v>
      </c>
    </row>
    <row r="10" spans="1:7">
      <c r="A10" s="60" t="s">
        <v>629</v>
      </c>
      <c r="B10" s="60" t="s">
        <v>630</v>
      </c>
      <c r="C10" s="60" t="s">
        <v>611</v>
      </c>
      <c r="D10" s="60" t="s">
        <v>612</v>
      </c>
      <c r="E10" s="60" t="s">
        <v>616</v>
      </c>
      <c r="F10" s="60" t="s">
        <v>630</v>
      </c>
      <c r="G10" s="60" t="s">
        <v>631</v>
      </c>
    </row>
    <row r="11" spans="1:7">
      <c r="A11" s="60" t="s">
        <v>632</v>
      </c>
      <c r="B11" s="60" t="s">
        <v>633</v>
      </c>
      <c r="C11" s="60" t="s">
        <v>611</v>
      </c>
      <c r="D11" s="60" t="s">
        <v>612</v>
      </c>
      <c r="E11" s="60" t="s">
        <v>616</v>
      </c>
      <c r="F11" s="60" t="s">
        <v>633</v>
      </c>
      <c r="G11" s="60" t="s">
        <v>634</v>
      </c>
    </row>
    <row r="12" spans="1:7">
      <c r="A12" s="60" t="s">
        <v>635</v>
      </c>
      <c r="B12" s="60" t="s">
        <v>636</v>
      </c>
      <c r="C12" s="60" t="s">
        <v>637</v>
      </c>
      <c r="D12" s="60" t="s">
        <v>615</v>
      </c>
      <c r="E12" s="60" t="s">
        <v>616</v>
      </c>
      <c r="F12" s="60" t="s">
        <v>638</v>
      </c>
      <c r="G12" s="60">
        <v>128</v>
      </c>
    </row>
    <row r="13" spans="1:7">
      <c r="A13" s="60" t="s">
        <v>639</v>
      </c>
      <c r="B13" s="60" t="s">
        <v>640</v>
      </c>
      <c r="C13" s="60" t="s">
        <v>611</v>
      </c>
      <c r="D13" s="60" t="s">
        <v>612</v>
      </c>
      <c r="E13" s="60" t="s">
        <v>616</v>
      </c>
      <c r="F13" s="60" t="s">
        <v>640</v>
      </c>
      <c r="G13" s="60" t="s">
        <v>641</v>
      </c>
    </row>
    <row r="14" spans="1:7">
      <c r="A14" s="60" t="s">
        <v>642</v>
      </c>
      <c r="B14" s="60" t="s">
        <v>643</v>
      </c>
      <c r="C14" s="60" t="s">
        <v>611</v>
      </c>
      <c r="D14" s="60" t="s">
        <v>612</v>
      </c>
      <c r="E14" s="60" t="s">
        <v>616</v>
      </c>
      <c r="F14" s="60" t="s">
        <v>644</v>
      </c>
      <c r="G14" s="60" t="s">
        <v>645</v>
      </c>
    </row>
    <row r="15" spans="1:7">
      <c r="A15" s="60" t="s">
        <v>646</v>
      </c>
      <c r="B15" s="60" t="s">
        <v>647</v>
      </c>
      <c r="C15" s="60" t="s">
        <v>611</v>
      </c>
      <c r="D15" s="60" t="s">
        <v>615</v>
      </c>
      <c r="E15" s="60" t="s">
        <v>616</v>
      </c>
      <c r="F15" s="60" t="s">
        <v>648</v>
      </c>
      <c r="G15" s="60" t="s">
        <v>649</v>
      </c>
    </row>
    <row r="16" spans="1:7">
      <c r="A16" s="60" t="s">
        <v>7</v>
      </c>
      <c r="B16" s="60" t="s">
        <v>41</v>
      </c>
      <c r="C16" s="60" t="s">
        <v>611</v>
      </c>
      <c r="D16" s="60" t="s">
        <v>612</v>
      </c>
      <c r="E16" s="60" t="s">
        <v>616</v>
      </c>
      <c r="F16" s="60" t="s">
        <v>41</v>
      </c>
      <c r="G16" s="60" t="s">
        <v>75</v>
      </c>
    </row>
    <row r="17" spans="1:7">
      <c r="A17" s="60" t="s">
        <v>650</v>
      </c>
      <c r="B17" s="60" t="s">
        <v>651</v>
      </c>
      <c r="C17" s="60" t="s">
        <v>611</v>
      </c>
      <c r="D17" s="60" t="s">
        <v>612</v>
      </c>
      <c r="E17" s="60" t="s">
        <v>616</v>
      </c>
      <c r="F17" s="60" t="s">
        <v>651</v>
      </c>
      <c r="G17" s="60" t="s">
        <v>652</v>
      </c>
    </row>
    <row r="18" spans="1:7">
      <c r="A18" s="60" t="s">
        <v>653</v>
      </c>
      <c r="B18" s="60" t="s">
        <v>654</v>
      </c>
      <c r="C18" s="60" t="s">
        <v>611</v>
      </c>
      <c r="D18" s="60" t="s">
        <v>612</v>
      </c>
      <c r="E18" s="60" t="s">
        <v>616</v>
      </c>
      <c r="F18" s="60" t="s">
        <v>654</v>
      </c>
      <c r="G18" s="60" t="s">
        <v>655</v>
      </c>
    </row>
    <row r="19" ht="28.5" spans="1:7">
      <c r="A19" s="60" t="s">
        <v>8</v>
      </c>
      <c r="B19" s="60" t="s">
        <v>42</v>
      </c>
      <c r="C19" s="60" t="s">
        <v>611</v>
      </c>
      <c r="D19" s="60" t="s">
        <v>612</v>
      </c>
      <c r="E19" s="60" t="s">
        <v>616</v>
      </c>
      <c r="F19" s="60" t="s">
        <v>42</v>
      </c>
      <c r="G19" s="60" t="s">
        <v>76</v>
      </c>
    </row>
    <row r="20" ht="28.5" spans="1:7">
      <c r="A20" s="60" t="s">
        <v>9</v>
      </c>
      <c r="B20" s="60" t="s">
        <v>43</v>
      </c>
      <c r="C20" s="60" t="s">
        <v>611</v>
      </c>
      <c r="D20" s="60" t="s">
        <v>612</v>
      </c>
      <c r="E20" s="60" t="s">
        <v>616</v>
      </c>
      <c r="F20" s="60" t="s">
        <v>43</v>
      </c>
      <c r="G20" s="60" t="s">
        <v>77</v>
      </c>
    </row>
    <row r="21" spans="1:7">
      <c r="A21" s="60" t="s">
        <v>10</v>
      </c>
      <c r="B21" s="60" t="s">
        <v>44</v>
      </c>
      <c r="C21" s="60" t="s">
        <v>656</v>
      </c>
      <c r="D21" s="60" t="s">
        <v>612</v>
      </c>
      <c r="E21" s="60" t="s">
        <v>616</v>
      </c>
      <c r="F21" s="60" t="s">
        <v>657</v>
      </c>
      <c r="G21" s="60" t="s">
        <v>78</v>
      </c>
    </row>
    <row r="22" spans="1:7">
      <c r="A22" s="60" t="s">
        <v>11</v>
      </c>
      <c r="B22" s="60" t="s">
        <v>45</v>
      </c>
      <c r="C22" s="60" t="s">
        <v>656</v>
      </c>
      <c r="D22" s="60" t="s">
        <v>612</v>
      </c>
      <c r="E22" s="60" t="s">
        <v>616</v>
      </c>
      <c r="F22" s="60" t="s">
        <v>658</v>
      </c>
      <c r="G22" s="60" t="s">
        <v>79</v>
      </c>
    </row>
    <row r="23" spans="1:7">
      <c r="A23" s="60" t="s">
        <v>12</v>
      </c>
      <c r="B23" s="60" t="s">
        <v>46</v>
      </c>
      <c r="C23" s="60" t="s">
        <v>611</v>
      </c>
      <c r="D23" s="60" t="s">
        <v>612</v>
      </c>
      <c r="E23" s="60" t="s">
        <v>616</v>
      </c>
      <c r="F23" s="60" t="s">
        <v>46</v>
      </c>
      <c r="G23" s="60" t="s">
        <v>80</v>
      </c>
    </row>
    <row r="24" spans="1:7">
      <c r="A24" s="60" t="s">
        <v>13</v>
      </c>
      <c r="B24" s="60" t="s">
        <v>47</v>
      </c>
      <c r="C24" s="60" t="s">
        <v>611</v>
      </c>
      <c r="D24" s="60" t="s">
        <v>612</v>
      </c>
      <c r="E24" s="60" t="s">
        <v>616</v>
      </c>
      <c r="F24" s="60" t="s">
        <v>47</v>
      </c>
      <c r="G24" s="60" t="s">
        <v>81</v>
      </c>
    </row>
    <row r="25" spans="1:7">
      <c r="A25" s="60" t="s">
        <v>14</v>
      </c>
      <c r="B25" s="60" t="s">
        <v>48</v>
      </c>
      <c r="C25" s="60" t="s">
        <v>611</v>
      </c>
      <c r="D25" s="60" t="s">
        <v>612</v>
      </c>
      <c r="E25" s="60" t="s">
        <v>616</v>
      </c>
      <c r="F25" s="60" t="s">
        <v>48</v>
      </c>
      <c r="G25" s="60" t="s">
        <v>82</v>
      </c>
    </row>
    <row r="26" spans="1:7">
      <c r="A26" s="60" t="s">
        <v>15</v>
      </c>
      <c r="B26" s="60" t="s">
        <v>49</v>
      </c>
      <c r="C26" s="60" t="s">
        <v>611</v>
      </c>
      <c r="D26" s="60" t="s">
        <v>612</v>
      </c>
      <c r="E26" s="60" t="s">
        <v>616</v>
      </c>
      <c r="F26" s="60" t="s">
        <v>49</v>
      </c>
      <c r="G26" s="60" t="s">
        <v>83</v>
      </c>
    </row>
    <row r="27" spans="1:7">
      <c r="A27" s="60" t="s">
        <v>16</v>
      </c>
      <c r="B27" s="60" t="s">
        <v>50</v>
      </c>
      <c r="C27" s="60" t="s">
        <v>611</v>
      </c>
      <c r="D27" s="60" t="s">
        <v>612</v>
      </c>
      <c r="E27" s="60" t="s">
        <v>616</v>
      </c>
      <c r="F27" s="60" t="s">
        <v>50</v>
      </c>
      <c r="G27" s="60" t="s">
        <v>84</v>
      </c>
    </row>
    <row r="28" spans="1:7">
      <c r="A28" s="60" t="s">
        <v>17</v>
      </c>
      <c r="B28" s="60" t="s">
        <v>51</v>
      </c>
      <c r="C28" s="60" t="s">
        <v>611</v>
      </c>
      <c r="D28" s="60" t="s">
        <v>612</v>
      </c>
      <c r="E28" s="60" t="s">
        <v>616</v>
      </c>
      <c r="F28" s="60" t="s">
        <v>51</v>
      </c>
      <c r="G28" s="60" t="s">
        <v>85</v>
      </c>
    </row>
    <row r="29" spans="1:7">
      <c r="A29" s="60" t="s">
        <v>18</v>
      </c>
      <c r="B29" s="60" t="s">
        <v>52</v>
      </c>
      <c r="C29" s="60" t="s">
        <v>659</v>
      </c>
      <c r="D29" s="60" t="s">
        <v>612</v>
      </c>
      <c r="E29" s="60" t="s">
        <v>616</v>
      </c>
      <c r="F29" s="60" t="s">
        <v>660</v>
      </c>
      <c r="G29" s="60">
        <v>29.99</v>
      </c>
    </row>
    <row r="30" spans="1:7">
      <c r="A30" s="60" t="s">
        <v>19</v>
      </c>
      <c r="B30" s="60" t="s">
        <v>53</v>
      </c>
      <c r="C30" s="60" t="s">
        <v>659</v>
      </c>
      <c r="D30" s="60" t="s">
        <v>612</v>
      </c>
      <c r="E30" s="60" t="s">
        <v>616</v>
      </c>
      <c r="F30" s="60" t="s">
        <v>661</v>
      </c>
      <c r="G30" s="60">
        <v>24.99</v>
      </c>
    </row>
    <row r="31" spans="1:7">
      <c r="A31" s="60" t="s">
        <v>20</v>
      </c>
      <c r="B31" s="60" t="s">
        <v>54</v>
      </c>
      <c r="C31" s="60" t="s">
        <v>659</v>
      </c>
      <c r="D31" s="60" t="s">
        <v>612</v>
      </c>
      <c r="E31" s="60" t="s">
        <v>616</v>
      </c>
      <c r="F31" s="60" t="s">
        <v>662</v>
      </c>
      <c r="G31" s="60">
        <v>19.99</v>
      </c>
    </row>
    <row r="32" spans="1:7">
      <c r="A32" s="60" t="s">
        <v>21</v>
      </c>
      <c r="B32" s="60" t="s">
        <v>55</v>
      </c>
      <c r="C32" s="60" t="s">
        <v>659</v>
      </c>
      <c r="D32" s="60" t="s">
        <v>612</v>
      </c>
      <c r="E32" s="60" t="s">
        <v>616</v>
      </c>
      <c r="F32" s="60" t="s">
        <v>663</v>
      </c>
      <c r="G32" s="60">
        <v>21.99</v>
      </c>
    </row>
    <row r="33" spans="1:7">
      <c r="A33" s="60" t="s">
        <v>22</v>
      </c>
      <c r="B33" s="60" t="s">
        <v>56</v>
      </c>
      <c r="C33" s="60" t="s">
        <v>659</v>
      </c>
      <c r="D33" s="60" t="s">
        <v>612</v>
      </c>
      <c r="E33" s="60" t="s">
        <v>616</v>
      </c>
      <c r="F33" s="60" t="s">
        <v>664</v>
      </c>
      <c r="G33" s="60">
        <v>32.99</v>
      </c>
    </row>
    <row r="34" spans="1:7">
      <c r="A34" s="60" t="s">
        <v>23</v>
      </c>
      <c r="B34" s="60" t="s">
        <v>57</v>
      </c>
      <c r="C34" s="60" t="s">
        <v>659</v>
      </c>
      <c r="D34" s="60" t="s">
        <v>612</v>
      </c>
      <c r="E34" s="60" t="s">
        <v>616</v>
      </c>
      <c r="F34" s="60" t="s">
        <v>665</v>
      </c>
      <c r="G34" s="60">
        <v>27.99</v>
      </c>
    </row>
    <row r="35" spans="1:7">
      <c r="A35" s="60" t="s">
        <v>24</v>
      </c>
      <c r="B35" s="60" t="s">
        <v>58</v>
      </c>
      <c r="C35" s="60" t="s">
        <v>659</v>
      </c>
      <c r="D35" s="60" t="s">
        <v>612</v>
      </c>
      <c r="E35" s="60" t="s">
        <v>616</v>
      </c>
      <c r="F35" s="60" t="s">
        <v>666</v>
      </c>
      <c r="G35" s="60">
        <v>10</v>
      </c>
    </row>
    <row r="36" spans="1:7">
      <c r="A36" s="60" t="s">
        <v>25</v>
      </c>
      <c r="B36" s="60" t="s">
        <v>59</v>
      </c>
      <c r="C36" s="60" t="s">
        <v>659</v>
      </c>
      <c r="D36" s="60" t="s">
        <v>612</v>
      </c>
      <c r="E36" s="60" t="s">
        <v>616</v>
      </c>
      <c r="F36" s="60" t="s">
        <v>667</v>
      </c>
      <c r="G36" s="60">
        <v>12</v>
      </c>
    </row>
    <row r="37" spans="1:7">
      <c r="A37" s="60" t="s">
        <v>26</v>
      </c>
      <c r="B37" s="60" t="s">
        <v>60</v>
      </c>
      <c r="C37" s="60" t="s">
        <v>659</v>
      </c>
      <c r="D37" s="60" t="s">
        <v>612</v>
      </c>
      <c r="E37" s="60" t="s">
        <v>616</v>
      </c>
      <c r="F37" s="60" t="s">
        <v>668</v>
      </c>
      <c r="G37" s="60">
        <v>8</v>
      </c>
    </row>
    <row r="38" spans="1:7">
      <c r="A38" s="60" t="s">
        <v>27</v>
      </c>
      <c r="B38" s="60" t="s">
        <v>61</v>
      </c>
      <c r="C38" s="60" t="s">
        <v>611</v>
      </c>
      <c r="D38" s="60" t="s">
        <v>612</v>
      </c>
      <c r="E38" s="60" t="s">
        <v>616</v>
      </c>
      <c r="F38" s="60" t="s">
        <v>61</v>
      </c>
      <c r="G38" s="60" t="s">
        <v>86</v>
      </c>
    </row>
    <row r="39" spans="1:7">
      <c r="A39" s="60" t="s">
        <v>28</v>
      </c>
      <c r="B39" s="60" t="s">
        <v>62</v>
      </c>
      <c r="C39" s="60" t="s">
        <v>669</v>
      </c>
      <c r="D39" s="60" t="s">
        <v>612</v>
      </c>
      <c r="E39" s="60" t="s">
        <v>616</v>
      </c>
      <c r="F39" s="60" t="s">
        <v>62</v>
      </c>
      <c r="G39" s="60" t="s">
        <v>87</v>
      </c>
    </row>
    <row r="40" spans="1:7">
      <c r="A40" s="60" t="s">
        <v>29</v>
      </c>
      <c r="B40" s="60" t="s">
        <v>63</v>
      </c>
      <c r="C40" s="60" t="s">
        <v>669</v>
      </c>
      <c r="D40" s="60" t="s">
        <v>612</v>
      </c>
      <c r="E40" s="60" t="s">
        <v>616</v>
      </c>
      <c r="F40" s="60" t="s">
        <v>63</v>
      </c>
      <c r="G40" s="60" t="s">
        <v>88</v>
      </c>
    </row>
    <row r="41" spans="1:7">
      <c r="A41" s="60" t="s">
        <v>30</v>
      </c>
      <c r="B41" s="60" t="s">
        <v>64</v>
      </c>
      <c r="C41" s="60" t="s">
        <v>669</v>
      </c>
      <c r="D41" s="60" t="s">
        <v>612</v>
      </c>
      <c r="E41" s="60" t="s">
        <v>616</v>
      </c>
      <c r="F41" s="60" t="s">
        <v>64</v>
      </c>
      <c r="G41" s="60" t="s">
        <v>89</v>
      </c>
    </row>
    <row r="42" spans="1:7">
      <c r="A42" s="60" t="s">
        <v>31</v>
      </c>
      <c r="B42" s="60" t="s">
        <v>65</v>
      </c>
      <c r="C42" s="60" t="s">
        <v>670</v>
      </c>
      <c r="D42" s="60" t="s">
        <v>612</v>
      </c>
      <c r="E42" s="60" t="s">
        <v>616</v>
      </c>
      <c r="F42" s="60" t="s">
        <v>65</v>
      </c>
      <c r="G42" s="60" t="s">
        <v>90</v>
      </c>
    </row>
    <row r="43" spans="1:7">
      <c r="A43" s="60" t="s">
        <v>32</v>
      </c>
      <c r="B43" s="60" t="s">
        <v>66</v>
      </c>
      <c r="C43" s="60" t="s">
        <v>670</v>
      </c>
      <c r="D43" s="60" t="s">
        <v>612</v>
      </c>
      <c r="E43" s="60" t="s">
        <v>616</v>
      </c>
      <c r="F43" s="60" t="s">
        <v>66</v>
      </c>
      <c r="G43" s="60" t="s">
        <v>91</v>
      </c>
    </row>
    <row r="44" spans="1:7">
      <c r="A44" s="60" t="s">
        <v>671</v>
      </c>
      <c r="B44" s="60" t="s">
        <v>672</v>
      </c>
      <c r="C44" s="60" t="s">
        <v>670</v>
      </c>
      <c r="D44" s="60" t="s">
        <v>612</v>
      </c>
      <c r="E44" s="60" t="s">
        <v>616</v>
      </c>
      <c r="F44" s="60" t="s">
        <v>672</v>
      </c>
      <c r="G44" s="60" t="s">
        <v>673</v>
      </c>
    </row>
    <row r="45" spans="1:7">
      <c r="A45" s="60" t="s">
        <v>33</v>
      </c>
      <c r="B45" s="60" t="s">
        <v>67</v>
      </c>
      <c r="C45" s="60" t="s">
        <v>670</v>
      </c>
      <c r="D45" s="60" t="s">
        <v>612</v>
      </c>
      <c r="E45" s="60" t="s">
        <v>616</v>
      </c>
      <c r="F45" s="60" t="s">
        <v>67</v>
      </c>
      <c r="G45" s="60" t="s">
        <v>92</v>
      </c>
    </row>
    <row r="46" spans="1:7">
      <c r="A46" s="60" t="s">
        <v>34</v>
      </c>
      <c r="B46" s="60" t="s">
        <v>674</v>
      </c>
      <c r="C46" s="60" t="s">
        <v>675</v>
      </c>
      <c r="D46" s="60" t="s">
        <v>615</v>
      </c>
      <c r="E46" s="60" t="s">
        <v>616</v>
      </c>
      <c r="F46" s="60" t="s">
        <v>676</v>
      </c>
      <c r="G46" s="60" t="s">
        <v>93</v>
      </c>
    </row>
    <row r="47" spans="1:7">
      <c r="A47" s="60" t="s">
        <v>35</v>
      </c>
      <c r="B47" s="60" t="s">
        <v>677</v>
      </c>
      <c r="C47" s="60" t="s">
        <v>678</v>
      </c>
      <c r="D47" s="60" t="s">
        <v>615</v>
      </c>
      <c r="E47" s="60" t="s">
        <v>616</v>
      </c>
      <c r="F47" s="60" t="s">
        <v>679</v>
      </c>
      <c r="G47" s="60" t="s">
        <v>94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showGridLines="0" workbookViewId="0">
      <selection activeCell="A3" sqref="A3"/>
    </sheetView>
  </sheetViews>
  <sheetFormatPr defaultColWidth="9" defaultRowHeight="14.25"/>
  <cols>
    <col min="1" max="1" width="60" customWidth="1"/>
  </cols>
  <sheetData>
    <row r="1" ht="15" spans="1:1">
      <c r="A1" s="55" t="s">
        <v>680</v>
      </c>
    </row>
    <row r="2" spans="1:1">
      <c r="A2" s="56" t="s">
        <v>681</v>
      </c>
    </row>
    <row r="3" spans="1:1">
      <c r="A3" s="56" t="s">
        <v>252</v>
      </c>
    </row>
    <row r="4" spans="1:1">
      <c r="A4" s="56" t="s">
        <v>682</v>
      </c>
    </row>
    <row r="5" spans="1:1">
      <c r="A5" s="56" t="s">
        <v>683</v>
      </c>
    </row>
    <row r="6" spans="1:1">
      <c r="A6" s="56"/>
    </row>
    <row r="7" spans="1:1">
      <c r="A7" s="57" t="s">
        <v>684</v>
      </c>
    </row>
    <row r="8" spans="1:1">
      <c r="A8" s="56" t="s">
        <v>685</v>
      </c>
    </row>
    <row r="9" spans="1:1">
      <c r="A9" s="56" t="s">
        <v>686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0"/>
  <sheetViews>
    <sheetView topLeftCell="A82" workbookViewId="0">
      <selection activeCell="C106" sqref="C106:C119"/>
    </sheetView>
  </sheetViews>
  <sheetFormatPr defaultColWidth="9" defaultRowHeight="14.25" outlineLevelCol="5"/>
  <sheetData>
    <row r="1" spans="1:3">
      <c r="A1" s="38" t="s">
        <v>97</v>
      </c>
      <c r="B1" s="3">
        <v>99.99</v>
      </c>
      <c r="C1" s="38" t="s">
        <v>687</v>
      </c>
    </row>
    <row r="2" spans="1:3">
      <c r="A2" s="38" t="s">
        <v>97</v>
      </c>
      <c r="B2" s="3">
        <v>69.99</v>
      </c>
      <c r="C2" s="7">
        <v>53.99</v>
      </c>
    </row>
    <row r="3" spans="1:3">
      <c r="A3" s="38" t="s">
        <v>97</v>
      </c>
      <c r="B3" s="3">
        <v>99.99</v>
      </c>
      <c r="C3" s="38" t="s">
        <v>688</v>
      </c>
    </row>
    <row r="4" spans="1:3">
      <c r="A4" s="38" t="s">
        <v>97</v>
      </c>
      <c r="B4" s="3">
        <v>99.99</v>
      </c>
      <c r="C4" s="38" t="s">
        <v>687</v>
      </c>
    </row>
    <row r="5" spans="1:3">
      <c r="A5" s="38" t="s">
        <v>97</v>
      </c>
      <c r="B5" s="3">
        <v>99.99</v>
      </c>
      <c r="C5" s="7">
        <v>53.99</v>
      </c>
    </row>
    <row r="6" spans="1:3">
      <c r="A6" s="38" t="s">
        <v>97</v>
      </c>
      <c r="B6" s="3">
        <v>69.99</v>
      </c>
      <c r="C6" s="7">
        <v>53.99</v>
      </c>
    </row>
    <row r="7" spans="1:3">
      <c r="A7" s="38" t="s">
        <v>128</v>
      </c>
      <c r="B7" s="3">
        <v>99.99</v>
      </c>
      <c r="C7" s="38" t="s">
        <v>687</v>
      </c>
    </row>
    <row r="8" spans="1:3">
      <c r="A8" s="38" t="s">
        <v>128</v>
      </c>
      <c r="B8" s="3">
        <v>99.99</v>
      </c>
      <c r="C8" s="7">
        <v>56.99</v>
      </c>
    </row>
    <row r="9" spans="1:3">
      <c r="A9" s="38" t="s">
        <v>128</v>
      </c>
      <c r="B9" s="3">
        <v>69.99</v>
      </c>
      <c r="C9" s="7">
        <v>56.99</v>
      </c>
    </row>
    <row r="10" spans="1:3">
      <c r="A10" s="38" t="s">
        <v>128</v>
      </c>
      <c r="B10" s="3">
        <v>99.99</v>
      </c>
      <c r="C10" s="7">
        <v>56.99</v>
      </c>
    </row>
    <row r="11" spans="1:3">
      <c r="A11" s="38" t="s">
        <v>141</v>
      </c>
      <c r="B11" s="3">
        <v>99.99</v>
      </c>
      <c r="C11" s="7">
        <v>56.99</v>
      </c>
    </row>
    <row r="12" spans="1:3">
      <c r="A12" s="38" t="s">
        <v>141</v>
      </c>
      <c r="B12" s="3">
        <v>99.99</v>
      </c>
      <c r="C12" s="7">
        <v>56.99</v>
      </c>
    </row>
    <row r="13" spans="1:3">
      <c r="A13" s="38" t="s">
        <v>141</v>
      </c>
      <c r="B13" s="3">
        <v>99.99</v>
      </c>
      <c r="C13" s="7">
        <v>56.99</v>
      </c>
    </row>
    <row r="14" spans="1:3">
      <c r="A14" s="38" t="s">
        <v>150</v>
      </c>
      <c r="B14" s="3">
        <v>36.99</v>
      </c>
      <c r="C14" s="7">
        <v>19.99</v>
      </c>
    </row>
    <row r="15" spans="1:3">
      <c r="A15" s="38" t="s">
        <v>150</v>
      </c>
      <c r="B15" s="3">
        <v>36.99</v>
      </c>
      <c r="C15" s="7">
        <v>19.99</v>
      </c>
    </row>
    <row r="16" spans="1:3">
      <c r="A16" s="38" t="s">
        <v>157</v>
      </c>
      <c r="B16" s="3">
        <v>99.99</v>
      </c>
      <c r="C16" s="7">
        <v>53.99</v>
      </c>
    </row>
    <row r="17" spans="1:3">
      <c r="A17" s="38" t="s">
        <v>157</v>
      </c>
      <c r="B17" s="3">
        <v>69.99</v>
      </c>
      <c r="C17" s="7">
        <v>53.99</v>
      </c>
    </row>
    <row r="18" spans="1:3">
      <c r="A18" s="38" t="s">
        <v>157</v>
      </c>
      <c r="B18" s="3">
        <v>99.99</v>
      </c>
      <c r="C18" s="7">
        <v>53.99</v>
      </c>
    </row>
    <row r="19" spans="1:3">
      <c r="A19" s="38" t="s">
        <v>157</v>
      </c>
      <c r="B19" s="3">
        <v>69.99</v>
      </c>
      <c r="C19" s="7">
        <v>53.99</v>
      </c>
    </row>
    <row r="20" spans="1:3">
      <c r="A20" s="38" t="s">
        <v>170</v>
      </c>
      <c r="B20" s="3">
        <v>69.99</v>
      </c>
      <c r="C20" s="7">
        <v>53.99</v>
      </c>
    </row>
    <row r="21" spans="1:3">
      <c r="A21" s="38" t="s">
        <v>170</v>
      </c>
      <c r="B21" s="3">
        <v>69.99</v>
      </c>
      <c r="C21" s="7">
        <v>53.99</v>
      </c>
    </row>
    <row r="22" spans="1:3">
      <c r="A22" s="38" t="s">
        <v>170</v>
      </c>
      <c r="B22" s="3">
        <v>99.99</v>
      </c>
      <c r="C22" s="7">
        <v>53.99</v>
      </c>
    </row>
    <row r="23" spans="1:3">
      <c r="A23" s="38" t="s">
        <v>170</v>
      </c>
      <c r="B23" s="3">
        <v>69.99</v>
      </c>
      <c r="C23" s="38" t="s">
        <v>689</v>
      </c>
    </row>
    <row r="24" spans="1:3">
      <c r="A24" s="38" t="s">
        <v>179</v>
      </c>
      <c r="B24" s="3">
        <v>49.99</v>
      </c>
      <c r="C24" s="7">
        <v>39.99</v>
      </c>
    </row>
    <row r="25" spans="1:3">
      <c r="A25" s="38" t="s">
        <v>179</v>
      </c>
      <c r="B25" s="3">
        <v>49.99</v>
      </c>
      <c r="C25" s="7">
        <v>39.99</v>
      </c>
    </row>
    <row r="26" spans="1:3">
      <c r="A26" s="38" t="s">
        <v>179</v>
      </c>
      <c r="B26" s="3">
        <v>49.99</v>
      </c>
      <c r="C26" s="7">
        <v>39.99</v>
      </c>
    </row>
    <row r="27" spans="1:3">
      <c r="A27" s="38" t="s">
        <v>179</v>
      </c>
      <c r="B27" s="3">
        <v>49.99</v>
      </c>
      <c r="C27" s="7">
        <v>39.99</v>
      </c>
    </row>
    <row r="28" spans="1:3">
      <c r="A28" s="38" t="s">
        <v>179</v>
      </c>
      <c r="B28" s="3">
        <v>49.99</v>
      </c>
      <c r="C28" s="7">
        <v>39.99</v>
      </c>
    </row>
    <row r="29" spans="1:3">
      <c r="A29" s="38" t="s">
        <v>179</v>
      </c>
      <c r="B29" s="3">
        <v>49.99</v>
      </c>
      <c r="C29" s="7">
        <v>39.99</v>
      </c>
    </row>
    <row r="30" spans="1:3">
      <c r="A30" s="38" t="s">
        <v>194</v>
      </c>
      <c r="B30" s="3">
        <v>69.99</v>
      </c>
      <c r="C30" s="7">
        <v>53.99</v>
      </c>
    </row>
    <row r="31" spans="1:3">
      <c r="A31" s="38" t="s">
        <v>194</v>
      </c>
      <c r="B31" s="3">
        <v>69.99</v>
      </c>
      <c r="C31" s="7">
        <v>53.99</v>
      </c>
    </row>
    <row r="32" spans="1:3">
      <c r="A32" s="38" t="s">
        <v>201</v>
      </c>
      <c r="B32" s="3">
        <v>69.99</v>
      </c>
      <c r="C32" s="7">
        <v>53.99</v>
      </c>
    </row>
    <row r="33" spans="1:3">
      <c r="A33" s="38" t="s">
        <v>201</v>
      </c>
      <c r="B33" s="3">
        <v>69.99</v>
      </c>
      <c r="C33" s="7">
        <v>53.99</v>
      </c>
    </row>
    <row r="34" spans="1:3">
      <c r="A34" s="38" t="s">
        <v>206</v>
      </c>
      <c r="B34" s="3">
        <v>59.99</v>
      </c>
      <c r="C34" s="7">
        <v>49.99</v>
      </c>
    </row>
    <row r="35" spans="1:3">
      <c r="A35" s="38" t="s">
        <v>206</v>
      </c>
      <c r="B35" s="3">
        <v>59.99</v>
      </c>
      <c r="C35" s="7">
        <v>49.99</v>
      </c>
    </row>
    <row r="36" spans="1:3">
      <c r="A36" s="38" t="s">
        <v>211</v>
      </c>
      <c r="B36" s="3">
        <v>69.99</v>
      </c>
      <c r="C36" s="7">
        <v>53.99</v>
      </c>
    </row>
    <row r="37" spans="1:3">
      <c r="A37" s="38" t="s">
        <v>211</v>
      </c>
      <c r="B37" s="3">
        <v>69.99</v>
      </c>
      <c r="C37" s="7">
        <v>53.99</v>
      </c>
    </row>
    <row r="38" spans="1:3">
      <c r="A38" s="38" t="s">
        <v>216</v>
      </c>
      <c r="B38" s="3">
        <v>65.99</v>
      </c>
      <c r="C38" s="38" t="s">
        <v>690</v>
      </c>
    </row>
    <row r="39" spans="1:3">
      <c r="A39" s="38" t="s">
        <v>220</v>
      </c>
      <c r="B39" s="3">
        <v>65.99</v>
      </c>
      <c r="C39" s="38" t="s">
        <v>690</v>
      </c>
    </row>
    <row r="40" spans="1:3">
      <c r="A40" s="38" t="s">
        <v>223</v>
      </c>
      <c r="B40" s="3">
        <v>69.99</v>
      </c>
      <c r="C40" s="7">
        <v>45.99</v>
      </c>
    </row>
    <row r="41" spans="1:3">
      <c r="A41" s="38" t="s">
        <v>226</v>
      </c>
      <c r="B41" s="8">
        <v>66.65</v>
      </c>
      <c r="C41" s="8">
        <v>39.99</v>
      </c>
    </row>
    <row r="42" spans="1:3">
      <c r="A42" s="38" t="s">
        <v>234</v>
      </c>
      <c r="B42" s="3">
        <v>69.99</v>
      </c>
      <c r="C42" s="7">
        <v>39.99</v>
      </c>
    </row>
    <row r="43" spans="1:3">
      <c r="A43" s="38" t="s">
        <v>234</v>
      </c>
      <c r="B43" s="38">
        <v>69.99</v>
      </c>
      <c r="C43" s="38">
        <v>39.99</v>
      </c>
    </row>
    <row r="44" spans="1:3">
      <c r="A44" s="38" t="s">
        <v>242</v>
      </c>
      <c r="B44" s="3">
        <v>66.65</v>
      </c>
      <c r="C44" s="7">
        <v>39.99</v>
      </c>
    </row>
    <row r="45" spans="1:3">
      <c r="A45" s="38" t="s">
        <v>242</v>
      </c>
      <c r="B45" s="3">
        <v>66.65</v>
      </c>
      <c r="C45" s="7">
        <v>39.99</v>
      </c>
    </row>
    <row r="46" spans="1:3">
      <c r="A46" s="10" t="s">
        <v>250</v>
      </c>
      <c r="B46" s="39" t="s">
        <v>691</v>
      </c>
      <c r="C46" s="39" t="s">
        <v>692</v>
      </c>
    </row>
    <row r="47" spans="1:3">
      <c r="A47" s="10" t="s">
        <v>250</v>
      </c>
      <c r="B47" s="39" t="s">
        <v>691</v>
      </c>
      <c r="C47" s="39" t="s">
        <v>691</v>
      </c>
    </row>
    <row r="48" spans="1:3">
      <c r="A48" s="10" t="s">
        <v>258</v>
      </c>
      <c r="B48" s="40">
        <v>94.99</v>
      </c>
      <c r="C48" s="40">
        <v>56.99</v>
      </c>
    </row>
    <row r="49" spans="1:3">
      <c r="A49" s="1" t="s">
        <v>261</v>
      </c>
      <c r="B49" s="30">
        <v>44.99</v>
      </c>
      <c r="C49" s="30">
        <v>26.99</v>
      </c>
    </row>
    <row r="50" spans="1:3">
      <c r="A50" s="31" t="s">
        <v>265</v>
      </c>
      <c r="B50" s="41"/>
      <c r="C50" s="42"/>
    </row>
    <row r="51" spans="1:3">
      <c r="A51" s="39" t="s">
        <v>268</v>
      </c>
      <c r="B51" s="41"/>
      <c r="C51" s="42"/>
    </row>
    <row r="52" spans="1:3">
      <c r="A52" s="39" t="s">
        <v>268</v>
      </c>
      <c r="B52" s="41"/>
      <c r="C52" s="42"/>
    </row>
    <row r="53" spans="1:3">
      <c r="A53" s="39" t="s">
        <v>273</v>
      </c>
      <c r="B53" s="3">
        <v>54.98</v>
      </c>
      <c r="C53" s="43">
        <v>29.99</v>
      </c>
    </row>
    <row r="54" spans="1:3">
      <c r="A54" s="39" t="s">
        <v>273</v>
      </c>
      <c r="B54" s="3">
        <v>54.98</v>
      </c>
      <c r="C54" s="43">
        <v>29.99</v>
      </c>
    </row>
    <row r="55" spans="1:3">
      <c r="A55" s="39" t="s">
        <v>273</v>
      </c>
      <c r="B55" s="3">
        <v>54.98</v>
      </c>
      <c r="C55" s="43">
        <v>29.99</v>
      </c>
    </row>
    <row r="56" spans="1:3">
      <c r="A56" s="39" t="s">
        <v>280</v>
      </c>
      <c r="B56" s="3">
        <v>49.99</v>
      </c>
      <c r="C56" s="43">
        <v>29.99</v>
      </c>
    </row>
    <row r="57" spans="1:3">
      <c r="A57" s="39" t="s">
        <v>280</v>
      </c>
      <c r="B57" s="3">
        <v>49.99</v>
      </c>
      <c r="C57" s="43">
        <v>29.99</v>
      </c>
    </row>
    <row r="58" spans="1:3">
      <c r="A58" s="39" t="s">
        <v>285</v>
      </c>
      <c r="B58" s="40">
        <v>58.99</v>
      </c>
      <c r="C58" s="43">
        <v>32.99</v>
      </c>
    </row>
    <row r="59" spans="1:3">
      <c r="A59" s="39" t="s">
        <v>285</v>
      </c>
      <c r="B59" s="40">
        <v>58.99</v>
      </c>
      <c r="C59" s="43">
        <v>32.99</v>
      </c>
    </row>
    <row r="60" spans="1:3">
      <c r="A60" s="1" t="s">
        <v>290</v>
      </c>
      <c r="B60" s="40">
        <v>63.99</v>
      </c>
      <c r="C60" s="43">
        <v>35.99</v>
      </c>
    </row>
    <row r="61" spans="1:3">
      <c r="A61" s="1" t="s">
        <v>290</v>
      </c>
      <c r="B61" s="39"/>
      <c r="C61" s="42"/>
    </row>
    <row r="62" spans="1:3">
      <c r="A62" s="1" t="s">
        <v>290</v>
      </c>
      <c r="B62" s="40">
        <v>63.99</v>
      </c>
      <c r="C62" s="43">
        <v>35.99</v>
      </c>
    </row>
    <row r="63" spans="1:3">
      <c r="A63" s="39" t="s">
        <v>297</v>
      </c>
      <c r="B63" s="40">
        <v>30.99</v>
      </c>
      <c r="C63" s="43">
        <v>19.99</v>
      </c>
    </row>
    <row r="64" spans="1:3">
      <c r="A64" s="39" t="s">
        <v>297</v>
      </c>
      <c r="B64" s="40">
        <v>30.99</v>
      </c>
      <c r="C64" s="43">
        <v>19.99</v>
      </c>
    </row>
    <row r="65" spans="1:3">
      <c r="A65" s="39" t="s">
        <v>297</v>
      </c>
      <c r="B65" s="40">
        <v>30.99</v>
      </c>
      <c r="C65" s="43">
        <v>19.99</v>
      </c>
    </row>
    <row r="66" spans="1:3">
      <c r="A66" s="32" t="s">
        <v>304</v>
      </c>
      <c r="B66" s="40">
        <v>75</v>
      </c>
      <c r="C66" s="43">
        <v>45.99</v>
      </c>
    </row>
    <row r="67" spans="1:3">
      <c r="A67" s="32" t="s">
        <v>304</v>
      </c>
      <c r="B67" s="40">
        <v>75</v>
      </c>
      <c r="C67" s="43">
        <v>45.99</v>
      </c>
    </row>
    <row r="68" spans="1:3">
      <c r="A68" s="39" t="s">
        <v>309</v>
      </c>
      <c r="B68" s="40">
        <v>29.99</v>
      </c>
      <c r="C68" s="43">
        <v>16.99</v>
      </c>
    </row>
    <row r="69" spans="1:3">
      <c r="A69" s="39" t="s">
        <v>309</v>
      </c>
      <c r="B69" s="40">
        <v>29.99</v>
      </c>
      <c r="C69" s="43">
        <v>16.99</v>
      </c>
    </row>
    <row r="70" spans="1:3">
      <c r="A70" s="39" t="s">
        <v>309</v>
      </c>
      <c r="B70" s="40">
        <v>29.99</v>
      </c>
      <c r="C70" s="43">
        <v>16.99</v>
      </c>
    </row>
    <row r="71" spans="1:3">
      <c r="A71" s="39" t="s">
        <v>316</v>
      </c>
      <c r="B71" s="40">
        <v>54.99</v>
      </c>
      <c r="C71" s="43">
        <v>32.99</v>
      </c>
    </row>
    <row r="72" spans="1:3">
      <c r="A72" s="39" t="s">
        <v>316</v>
      </c>
      <c r="B72" s="40">
        <v>54.99</v>
      </c>
      <c r="C72" s="43">
        <v>32.99</v>
      </c>
    </row>
    <row r="73" spans="1:3">
      <c r="A73" s="39" t="s">
        <v>321</v>
      </c>
      <c r="B73" s="40">
        <v>26.99</v>
      </c>
      <c r="C73" s="43">
        <v>16.99</v>
      </c>
    </row>
    <row r="74" spans="1:3">
      <c r="A74" s="39" t="s">
        <v>321</v>
      </c>
      <c r="B74" s="40">
        <v>26.99</v>
      </c>
      <c r="C74" s="43">
        <v>16.99</v>
      </c>
    </row>
    <row r="75" spans="1:3">
      <c r="A75" s="39" t="s">
        <v>327</v>
      </c>
      <c r="B75" s="40">
        <v>24.99</v>
      </c>
      <c r="C75" s="43">
        <v>16.99</v>
      </c>
    </row>
    <row r="76" spans="1:3">
      <c r="A76" s="39" t="s">
        <v>327</v>
      </c>
      <c r="B76" s="40">
        <v>24.99</v>
      </c>
      <c r="C76" s="43">
        <v>16.99</v>
      </c>
    </row>
    <row r="77" spans="1:3">
      <c r="A77" s="39" t="s">
        <v>327</v>
      </c>
      <c r="B77" s="40">
        <v>24.99</v>
      </c>
      <c r="C77" s="43">
        <v>16.99</v>
      </c>
    </row>
    <row r="78" spans="1:3">
      <c r="A78" s="39" t="s">
        <v>334</v>
      </c>
      <c r="B78" s="40">
        <v>99.98</v>
      </c>
      <c r="C78" s="43">
        <v>59.99</v>
      </c>
    </row>
    <row r="79" spans="1:3">
      <c r="A79" s="39" t="s">
        <v>337</v>
      </c>
      <c r="B79" s="40">
        <v>94.99</v>
      </c>
      <c r="C79" s="43">
        <v>56.99</v>
      </c>
    </row>
    <row r="80" spans="1:3">
      <c r="A80" s="39" t="s">
        <v>693</v>
      </c>
      <c r="B80" s="39" t="s">
        <v>694</v>
      </c>
      <c r="C80" s="37" t="s">
        <v>695</v>
      </c>
    </row>
    <row r="81" spans="1:3">
      <c r="A81" s="39" t="s">
        <v>693</v>
      </c>
      <c r="B81" s="39" t="s">
        <v>694</v>
      </c>
      <c r="C81" s="37" t="s">
        <v>695</v>
      </c>
    </row>
    <row r="82" spans="1:3">
      <c r="A82" s="32" t="s">
        <v>340</v>
      </c>
      <c r="B82" s="40">
        <v>99.99</v>
      </c>
      <c r="C82" s="39"/>
    </row>
    <row r="83" spans="1:3">
      <c r="A83" s="44" t="s">
        <v>344</v>
      </c>
      <c r="B83" s="40">
        <v>56.99</v>
      </c>
      <c r="C83" s="45">
        <v>32.99</v>
      </c>
    </row>
    <row r="84" spans="1:3">
      <c r="A84" s="44" t="s">
        <v>347</v>
      </c>
      <c r="B84" s="40">
        <v>56.99</v>
      </c>
      <c r="C84" s="45">
        <v>32.99</v>
      </c>
    </row>
    <row r="85" spans="1:3">
      <c r="A85" s="44" t="s">
        <v>344</v>
      </c>
      <c r="B85" s="40">
        <v>45.99</v>
      </c>
      <c r="C85" s="45">
        <v>32.99</v>
      </c>
    </row>
    <row r="86" spans="1:3">
      <c r="A86" s="44" t="s">
        <v>352</v>
      </c>
      <c r="B86" s="40">
        <v>45.99</v>
      </c>
      <c r="C86" s="45">
        <v>29.99</v>
      </c>
    </row>
    <row r="87" spans="1:3">
      <c r="A87" s="44" t="s">
        <v>355</v>
      </c>
      <c r="B87" s="40">
        <v>49.99</v>
      </c>
      <c r="C87" s="45">
        <v>27.99</v>
      </c>
    </row>
    <row r="88" spans="1:3">
      <c r="A88" s="44" t="s">
        <v>355</v>
      </c>
      <c r="B88" s="39"/>
      <c r="C88" s="46"/>
    </row>
    <row r="89" spans="1:3">
      <c r="A89" s="44" t="s">
        <v>360</v>
      </c>
      <c r="B89" s="40">
        <v>45.99</v>
      </c>
      <c r="C89" s="45">
        <v>29.99</v>
      </c>
    </row>
    <row r="90" spans="1:3">
      <c r="A90" s="44" t="s">
        <v>363</v>
      </c>
      <c r="B90" s="10">
        <v>79.99</v>
      </c>
      <c r="C90" s="10">
        <v>43.99</v>
      </c>
    </row>
    <row r="91" spans="1:3">
      <c r="A91" s="44" t="s">
        <v>366</v>
      </c>
      <c r="B91" s="40">
        <v>99.99</v>
      </c>
      <c r="C91" s="47">
        <v>53.99</v>
      </c>
    </row>
    <row r="92" spans="1:3">
      <c r="A92" s="44" t="s">
        <v>370</v>
      </c>
      <c r="B92" s="40">
        <v>89.99</v>
      </c>
      <c r="C92" s="47">
        <v>49.99</v>
      </c>
    </row>
    <row r="93" spans="1:3">
      <c r="A93" s="44" t="s">
        <v>373</v>
      </c>
      <c r="B93" s="39"/>
      <c r="C93" s="47">
        <v>29.99</v>
      </c>
    </row>
    <row r="94" spans="1:3">
      <c r="A94" s="44" t="s">
        <v>376</v>
      </c>
      <c r="B94" s="39"/>
      <c r="C94" s="47">
        <v>32.99</v>
      </c>
    </row>
    <row r="95" spans="1:3">
      <c r="A95" s="44" t="s">
        <v>379</v>
      </c>
      <c r="B95" s="39"/>
      <c r="C95" s="46">
        <v>49.99</v>
      </c>
    </row>
    <row r="96" spans="1:3">
      <c r="A96" s="44" t="s">
        <v>382</v>
      </c>
      <c r="B96" s="39"/>
      <c r="C96" s="47">
        <v>42.99</v>
      </c>
    </row>
    <row r="97" spans="1:3">
      <c r="A97" s="37" t="s">
        <v>385</v>
      </c>
      <c r="B97" s="40">
        <v>39.99</v>
      </c>
      <c r="C97" s="47">
        <v>19.99</v>
      </c>
    </row>
    <row r="98" spans="1:3">
      <c r="A98" s="37" t="s">
        <v>388</v>
      </c>
      <c r="B98" s="40">
        <v>49.99</v>
      </c>
      <c r="C98" s="47">
        <v>29.99</v>
      </c>
    </row>
    <row r="99" spans="1:3">
      <c r="A99" s="37" t="s">
        <v>391</v>
      </c>
      <c r="B99" s="40">
        <v>29.99</v>
      </c>
      <c r="C99" s="45">
        <v>16.99</v>
      </c>
    </row>
    <row r="100" spans="1:3">
      <c r="A100" s="38" t="s">
        <v>128</v>
      </c>
      <c r="B100" s="41"/>
      <c r="C100" s="38"/>
    </row>
    <row r="101" spans="1:3">
      <c r="A101" s="44" t="s">
        <v>397</v>
      </c>
      <c r="B101" s="40">
        <v>59.99</v>
      </c>
      <c r="C101" s="45">
        <v>35.99</v>
      </c>
    </row>
    <row r="102" spans="1:3">
      <c r="A102" s="32" t="s">
        <v>400</v>
      </c>
      <c r="B102" s="45">
        <v>69.99</v>
      </c>
      <c r="C102" s="10">
        <v>39.99</v>
      </c>
    </row>
    <row r="103" spans="1:3">
      <c r="A103" s="32" t="s">
        <v>403</v>
      </c>
      <c r="B103" s="45">
        <v>69.99</v>
      </c>
      <c r="C103" s="10">
        <v>39.99</v>
      </c>
    </row>
    <row r="104" spans="1:3">
      <c r="A104" s="48" t="s">
        <v>406</v>
      </c>
      <c r="B104" s="39"/>
      <c r="C104" s="46"/>
    </row>
    <row r="105" spans="1:3">
      <c r="A105" s="44" t="s">
        <v>409</v>
      </c>
      <c r="B105" s="39"/>
      <c r="C105" s="46"/>
    </row>
    <row r="106" spans="1:3">
      <c r="A106" s="49" t="s">
        <v>412</v>
      </c>
      <c r="B106" s="39"/>
      <c r="C106" s="50">
        <v>45.99</v>
      </c>
    </row>
    <row r="107" spans="1:3">
      <c r="A107" s="49" t="s">
        <v>415</v>
      </c>
      <c r="B107" s="39"/>
      <c r="C107" s="50">
        <v>45.99</v>
      </c>
    </row>
    <row r="108" spans="1:3">
      <c r="A108" s="49" t="s">
        <v>418</v>
      </c>
      <c r="B108" s="39"/>
      <c r="C108" s="50">
        <v>45.99</v>
      </c>
    </row>
    <row r="109" spans="1:3">
      <c r="A109" s="37" t="s">
        <v>421</v>
      </c>
      <c r="B109" s="39"/>
      <c r="C109" s="50">
        <v>45.99</v>
      </c>
    </row>
    <row r="110" spans="1:3">
      <c r="A110" s="37" t="s">
        <v>425</v>
      </c>
      <c r="B110" s="39"/>
      <c r="C110" s="50">
        <v>45.99</v>
      </c>
    </row>
    <row r="111" spans="1:3">
      <c r="A111" s="37" t="s">
        <v>428</v>
      </c>
      <c r="B111" s="39"/>
      <c r="C111" s="50">
        <v>45.99</v>
      </c>
    </row>
    <row r="112" spans="1:3">
      <c r="A112" s="37" t="s">
        <v>432</v>
      </c>
      <c r="B112" s="39"/>
      <c r="C112" s="50">
        <v>65.99</v>
      </c>
    </row>
    <row r="113" spans="1:3">
      <c r="A113" s="37" t="s">
        <v>435</v>
      </c>
      <c r="B113" s="39"/>
      <c r="C113" s="50">
        <v>75.99</v>
      </c>
    </row>
    <row r="114" spans="1:3">
      <c r="A114" s="37" t="s">
        <v>439</v>
      </c>
      <c r="B114" s="39"/>
      <c r="C114" s="50">
        <v>59.99</v>
      </c>
    </row>
    <row r="115" spans="1:3">
      <c r="A115" s="37" t="s">
        <v>443</v>
      </c>
      <c r="B115" s="39"/>
      <c r="C115" s="50">
        <v>56.99</v>
      </c>
    </row>
    <row r="116" spans="1:3">
      <c r="A116" s="37" t="s">
        <v>446</v>
      </c>
      <c r="B116" s="39"/>
      <c r="C116" s="50">
        <v>65.99</v>
      </c>
    </row>
    <row r="117" spans="1:3">
      <c r="A117" s="37" t="s">
        <v>450</v>
      </c>
      <c r="B117" s="39"/>
      <c r="C117" s="50">
        <v>45.99</v>
      </c>
    </row>
    <row r="118" spans="1:3">
      <c r="A118" s="37" t="s">
        <v>453</v>
      </c>
      <c r="B118" s="51"/>
      <c r="C118" s="50">
        <v>49.99</v>
      </c>
    </row>
    <row r="119" spans="1:3">
      <c r="A119" s="37" t="s">
        <v>457</v>
      </c>
      <c r="B119" s="52"/>
      <c r="C119" s="50">
        <v>56.99</v>
      </c>
    </row>
    <row r="120" spans="1:3">
      <c r="A120" s="39" t="s">
        <v>460</v>
      </c>
      <c r="B120" s="52"/>
      <c r="C120" s="38"/>
    </row>
    <row r="121" spans="1:3">
      <c r="A121" s="39" t="s">
        <v>464</v>
      </c>
      <c r="B121" s="52"/>
      <c r="C121" s="38"/>
    </row>
    <row r="122" spans="1:3">
      <c r="A122" s="48" t="s">
        <v>406</v>
      </c>
      <c r="B122" s="52"/>
      <c r="C122" s="38"/>
    </row>
    <row r="123" spans="1:3">
      <c r="A123" s="37" t="s">
        <v>467</v>
      </c>
      <c r="B123" s="52"/>
      <c r="C123" s="38"/>
    </row>
    <row r="124" spans="1:3">
      <c r="A124" s="37" t="s">
        <v>470</v>
      </c>
      <c r="B124" s="52"/>
      <c r="C124" s="38"/>
    </row>
    <row r="125" spans="1:3">
      <c r="A125" s="37" t="s">
        <v>473</v>
      </c>
      <c r="B125" s="52"/>
      <c r="C125" s="38"/>
    </row>
    <row r="126" spans="1:3">
      <c r="A126" s="37" t="s">
        <v>476</v>
      </c>
      <c r="B126" s="52"/>
      <c r="C126" s="38"/>
    </row>
    <row r="127" spans="1:3">
      <c r="A127" s="37" t="s">
        <v>479</v>
      </c>
      <c r="B127" s="52"/>
      <c r="C127" s="38"/>
    </row>
    <row r="128" spans="1:3">
      <c r="A128" s="37" t="s">
        <v>482</v>
      </c>
      <c r="B128" s="52"/>
      <c r="C128" s="38"/>
    </row>
    <row r="129" ht="15" spans="1:6">
      <c r="A129" s="53" t="s">
        <v>485</v>
      </c>
      <c r="B129" s="52"/>
      <c r="C129" s="38"/>
    </row>
    <row r="130" spans="1:6">
      <c r="A130" s="54" t="s">
        <v>488</v>
      </c>
      <c r="B130" s="52"/>
      <c r="C130" s="38"/>
    </row>
    <row r="131" spans="1:6">
      <c r="A131" s="38" t="s">
        <v>696</v>
      </c>
      <c r="B131" s="52"/>
      <c r="C131" s="38"/>
    </row>
    <row r="132" spans="1:6">
      <c r="A132" s="37" t="s">
        <v>409</v>
      </c>
      <c r="B132" s="52"/>
      <c r="C132" s="38"/>
    </row>
    <row r="133" spans="1:6">
      <c r="A133" s="37" t="s">
        <v>391</v>
      </c>
      <c r="B133" s="35"/>
      <c r="C133" s="42">
        <v>19.99</v>
      </c>
      <c r="D133" s="35"/>
      <c r="E133" s="35"/>
      <c r="F133" s="35"/>
    </row>
    <row r="134" spans="1:6">
      <c r="A134" s="39" t="s">
        <v>460</v>
      </c>
      <c r="B134" s="35"/>
      <c r="C134" s="42">
        <v>19.99</v>
      </c>
      <c r="D134" s="35"/>
      <c r="E134" s="35"/>
      <c r="F134" s="35"/>
    </row>
    <row r="135" spans="1:6">
      <c r="A135" s="39" t="s">
        <v>464</v>
      </c>
      <c r="B135" s="35"/>
      <c r="C135" s="42">
        <v>25.99</v>
      </c>
      <c r="D135" s="35"/>
      <c r="E135" s="35"/>
      <c r="F135" s="35"/>
    </row>
    <row r="136" spans="1:6">
      <c r="A136" s="48" t="s">
        <v>406</v>
      </c>
      <c r="B136" s="35"/>
      <c r="C136" s="42">
        <v>32.99</v>
      </c>
      <c r="D136" s="35"/>
      <c r="E136" s="35"/>
      <c r="F136" s="35"/>
    </row>
    <row r="137" spans="1:6">
      <c r="A137" s="49" t="s">
        <v>412</v>
      </c>
      <c r="B137" s="35"/>
      <c r="D137" s="35"/>
      <c r="E137" s="35"/>
      <c r="F137" s="35"/>
    </row>
    <row r="138" spans="1:6">
      <c r="A138" s="49" t="s">
        <v>415</v>
      </c>
      <c r="B138" s="35"/>
      <c r="D138" s="35"/>
      <c r="E138" s="35"/>
      <c r="F138" s="35"/>
    </row>
    <row r="139" spans="1:6">
      <c r="A139" s="49" t="s">
        <v>418</v>
      </c>
      <c r="B139" s="35"/>
      <c r="D139" s="35"/>
      <c r="E139" s="35"/>
      <c r="F139" s="35"/>
    </row>
    <row r="140" spans="1:6">
      <c r="A140" s="37" t="s">
        <v>421</v>
      </c>
      <c r="B140" s="35"/>
      <c r="D140" s="35"/>
      <c r="E140" s="35"/>
      <c r="F140" s="35"/>
    </row>
    <row r="141" spans="1:6">
      <c r="A141" s="37" t="s">
        <v>425</v>
      </c>
      <c r="B141" s="35"/>
      <c r="D141" s="35"/>
      <c r="E141" s="35"/>
      <c r="F141" s="35"/>
    </row>
    <row r="142" spans="1:6">
      <c r="A142" s="37" t="s">
        <v>428</v>
      </c>
      <c r="B142" s="35"/>
      <c r="D142" s="35"/>
      <c r="E142" s="35"/>
      <c r="F142" s="35"/>
    </row>
    <row r="143" spans="1:6">
      <c r="A143" s="37" t="s">
        <v>432</v>
      </c>
      <c r="B143" s="35"/>
      <c r="D143" s="35"/>
      <c r="E143" s="35"/>
      <c r="F143" s="35"/>
    </row>
    <row r="144" spans="1:6">
      <c r="A144" s="37" t="s">
        <v>435</v>
      </c>
      <c r="B144" s="35"/>
      <c r="D144" s="35"/>
      <c r="E144" s="35"/>
      <c r="F144" s="35"/>
    </row>
    <row r="145" spans="1:6">
      <c r="A145" s="37" t="s">
        <v>439</v>
      </c>
      <c r="B145" s="35"/>
      <c r="D145" s="35"/>
      <c r="E145" s="35"/>
      <c r="F145" s="35"/>
    </row>
    <row r="146" spans="1:6">
      <c r="A146" s="37" t="s">
        <v>443</v>
      </c>
      <c r="B146" s="35"/>
      <c r="D146" s="35"/>
      <c r="E146" s="35"/>
      <c r="F146" s="35"/>
    </row>
    <row r="147" spans="1:6">
      <c r="A147" s="37" t="s">
        <v>446</v>
      </c>
      <c r="B147" s="35"/>
      <c r="D147" s="35"/>
      <c r="E147" s="35"/>
      <c r="F147" s="35"/>
    </row>
    <row r="148" spans="1:6">
      <c r="A148" s="37" t="s">
        <v>450</v>
      </c>
      <c r="B148" s="35"/>
      <c r="D148" s="35"/>
      <c r="E148" s="35"/>
      <c r="F148" s="35"/>
    </row>
    <row r="149" spans="1:6">
      <c r="A149" s="37" t="s">
        <v>453</v>
      </c>
      <c r="B149" s="35"/>
      <c r="D149" s="35"/>
      <c r="E149" s="35"/>
      <c r="F149" s="35"/>
    </row>
    <row r="150" spans="1:6">
      <c r="A150" s="37" t="s">
        <v>457</v>
      </c>
      <c r="B150" s="35"/>
      <c r="D150" s="35"/>
      <c r="E150" s="35"/>
      <c r="F150" s="35"/>
    </row>
    <row r="151" spans="1:6">
      <c r="A151" s="35" t="s">
        <v>467</v>
      </c>
      <c r="B151" s="35"/>
      <c r="C151" s="42">
        <v>59.99</v>
      </c>
      <c r="D151" s="35"/>
      <c r="E151" s="35"/>
      <c r="F151" s="35"/>
    </row>
    <row r="152" spans="1:6">
      <c r="A152" s="35" t="s">
        <v>470</v>
      </c>
      <c r="B152" s="35"/>
      <c r="C152" s="42">
        <v>19.99</v>
      </c>
      <c r="D152" s="35"/>
      <c r="E152" s="35"/>
      <c r="F152" s="35"/>
    </row>
    <row r="153" spans="1:6">
      <c r="A153" s="35" t="s">
        <v>473</v>
      </c>
      <c r="B153" s="35"/>
      <c r="C153" s="42">
        <v>39.99</v>
      </c>
      <c r="D153" s="35"/>
      <c r="E153" s="35"/>
      <c r="F153" s="35"/>
    </row>
    <row r="154" spans="1:6">
      <c r="A154" s="35" t="s">
        <v>476</v>
      </c>
      <c r="B154" s="35"/>
      <c r="C154" s="42">
        <v>19.99</v>
      </c>
      <c r="D154" s="35"/>
      <c r="E154" s="35"/>
      <c r="F154" s="35"/>
    </row>
    <row r="155" spans="1:6">
      <c r="A155" s="35" t="s">
        <v>479</v>
      </c>
      <c r="B155" s="35"/>
      <c r="C155" s="42">
        <v>39.99</v>
      </c>
      <c r="D155" s="35"/>
      <c r="E155" s="35"/>
      <c r="F155" s="35"/>
    </row>
    <row r="156" spans="1:6">
      <c r="A156" s="35" t="s">
        <v>482</v>
      </c>
      <c r="B156" s="35"/>
      <c r="C156" s="42">
        <v>39.99</v>
      </c>
      <c r="D156" s="35"/>
      <c r="E156" s="35"/>
      <c r="F156" s="35"/>
    </row>
    <row r="157" ht="15" spans="1:6">
      <c r="A157" s="53" t="s">
        <v>485</v>
      </c>
      <c r="B157" s="35"/>
      <c r="C157" s="42">
        <v>59.99</v>
      </c>
      <c r="D157" s="35"/>
      <c r="E157" s="35"/>
      <c r="F157" s="35"/>
    </row>
    <row r="158" spans="1:6">
      <c r="A158" s="54" t="s">
        <v>488</v>
      </c>
      <c r="B158" s="35"/>
      <c r="C158" s="42">
        <v>53.99</v>
      </c>
      <c r="D158" s="35"/>
      <c r="E158" s="35"/>
      <c r="F158" s="35"/>
    </row>
    <row r="159" spans="1:6">
      <c r="A159" s="38" t="s">
        <v>696</v>
      </c>
      <c r="B159" s="35"/>
      <c r="C159" s="38">
        <v>19.99</v>
      </c>
      <c r="D159" s="35"/>
      <c r="E159" s="35"/>
      <c r="F159" s="35"/>
    </row>
    <row r="160" spans="1:6">
      <c r="A160" s="35" t="s">
        <v>409</v>
      </c>
      <c r="B160" s="35"/>
      <c r="C160" s="42">
        <v>42.99</v>
      </c>
      <c r="D160" s="35"/>
      <c r="E160" s="35"/>
      <c r="F160" s="3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0"/>
  <sheetViews>
    <sheetView topLeftCell="A7" workbookViewId="0">
      <selection activeCell="B1" sqref="B1:B90"/>
    </sheetView>
  </sheetViews>
  <sheetFormatPr defaultColWidth="9" defaultRowHeight="14.25" outlineLevelCol="1"/>
  <sheetData>
    <row r="1" spans="1:2">
      <c r="A1" s="31" t="s">
        <v>242</v>
      </c>
      <c r="B1" s="31">
        <v>36.99</v>
      </c>
    </row>
    <row r="2" spans="1:2">
      <c r="A2" s="31" t="s">
        <v>234</v>
      </c>
      <c r="B2" s="31">
        <v>39.99</v>
      </c>
    </row>
    <row r="3" spans="1:2">
      <c r="A3" s="31" t="s">
        <v>316</v>
      </c>
      <c r="B3" s="31">
        <v>32.99</v>
      </c>
    </row>
    <row r="4" spans="1:2">
      <c r="A4" s="31" t="s">
        <v>304</v>
      </c>
      <c r="B4" s="31">
        <v>39.99</v>
      </c>
    </row>
    <row r="5" spans="1:2">
      <c r="A5" s="31" t="s">
        <v>697</v>
      </c>
      <c r="B5" s="31">
        <v>29.99</v>
      </c>
    </row>
    <row r="6" spans="1:2">
      <c r="A6" s="31" t="s">
        <v>309</v>
      </c>
      <c r="B6" s="31">
        <v>14.99</v>
      </c>
    </row>
    <row r="7" spans="1:2">
      <c r="A7" s="32" t="s">
        <v>297</v>
      </c>
      <c r="B7" s="31">
        <v>19.99</v>
      </c>
    </row>
    <row r="8" spans="1:2">
      <c r="A8" s="32" t="s">
        <v>321</v>
      </c>
      <c r="B8" s="31">
        <v>14.99</v>
      </c>
    </row>
    <row r="9" spans="1:2">
      <c r="A9" s="32" t="s">
        <v>327</v>
      </c>
      <c r="B9" s="31">
        <v>14.99</v>
      </c>
    </row>
    <row r="10" spans="1:2">
      <c r="A10" s="32" t="s">
        <v>273</v>
      </c>
      <c r="B10" s="31">
        <v>29.99</v>
      </c>
    </row>
    <row r="11" spans="1:2">
      <c r="A11" s="32" t="s">
        <v>280</v>
      </c>
      <c r="B11" s="31">
        <v>29.99</v>
      </c>
    </row>
    <row r="12" spans="1:2">
      <c r="A12" s="31" t="s">
        <v>285</v>
      </c>
      <c r="B12" s="31">
        <v>32.99</v>
      </c>
    </row>
    <row r="13" spans="1:2">
      <c r="A13" s="32" t="s">
        <v>268</v>
      </c>
      <c r="B13" s="31">
        <v>35.99</v>
      </c>
    </row>
    <row r="14" spans="1:2">
      <c r="A14" s="31" t="s">
        <v>258</v>
      </c>
      <c r="B14" s="31">
        <v>53.99</v>
      </c>
    </row>
    <row r="15" spans="1:2">
      <c r="A15" s="31" t="s">
        <v>592</v>
      </c>
      <c r="B15" s="31"/>
    </row>
    <row r="16" spans="1:2">
      <c r="A16" s="32" t="s">
        <v>698</v>
      </c>
      <c r="B16" s="31"/>
    </row>
    <row r="17" spans="1:2">
      <c r="A17" s="31" t="s">
        <v>290</v>
      </c>
      <c r="B17" s="31">
        <v>37.99</v>
      </c>
    </row>
    <row r="18" spans="1:2">
      <c r="A18" s="31" t="s">
        <v>355</v>
      </c>
      <c r="B18" s="31">
        <v>27.99</v>
      </c>
    </row>
    <row r="19" spans="1:2">
      <c r="A19" s="32" t="s">
        <v>397</v>
      </c>
      <c r="B19" s="31">
        <v>35.99</v>
      </c>
    </row>
    <row r="20" spans="1:2">
      <c r="A20" s="32" t="s">
        <v>403</v>
      </c>
      <c r="B20" s="31">
        <v>39.99</v>
      </c>
    </row>
    <row r="21" spans="1:2">
      <c r="A21" s="32" t="s">
        <v>400</v>
      </c>
      <c r="B21" s="31">
        <v>39.99</v>
      </c>
    </row>
    <row r="22" spans="1:2">
      <c r="A22" s="1" t="s">
        <v>699</v>
      </c>
      <c r="B22" s="1">
        <v>35.99</v>
      </c>
    </row>
    <row r="23" spans="1:2">
      <c r="A23" s="33" t="s">
        <v>363</v>
      </c>
      <c r="B23" s="33">
        <v>43.99</v>
      </c>
    </row>
    <row r="24" spans="1:2">
      <c r="A24" s="1" t="s">
        <v>366</v>
      </c>
      <c r="B24" s="1">
        <v>53.99</v>
      </c>
    </row>
    <row r="25" spans="1:2">
      <c r="A25" s="1" t="s">
        <v>370</v>
      </c>
      <c r="B25" s="1">
        <v>49.99</v>
      </c>
    </row>
    <row r="26" spans="1:2">
      <c r="A26" s="33" t="s">
        <v>379</v>
      </c>
      <c r="B26" s="33">
        <v>49.99</v>
      </c>
    </row>
    <row r="27" spans="1:2">
      <c r="A27" s="1" t="s">
        <v>373</v>
      </c>
      <c r="B27" s="1">
        <v>29.99</v>
      </c>
    </row>
    <row r="28" spans="1:2">
      <c r="A28" s="33" t="s">
        <v>376</v>
      </c>
      <c r="B28" s="33">
        <v>32.99</v>
      </c>
    </row>
    <row r="29" spans="1:2">
      <c r="A29" s="33" t="s">
        <v>382</v>
      </c>
      <c r="B29" s="33">
        <v>42.99</v>
      </c>
    </row>
    <row r="30" spans="1:2">
      <c r="A30" s="1" t="s">
        <v>344</v>
      </c>
      <c r="B30" s="1">
        <v>32.99</v>
      </c>
    </row>
    <row r="31" spans="1:2">
      <c r="A31" s="1" t="s">
        <v>347</v>
      </c>
      <c r="B31" s="1">
        <v>32.99</v>
      </c>
    </row>
    <row r="32" spans="1:2">
      <c r="A32" s="1" t="s">
        <v>360</v>
      </c>
      <c r="B32" s="1">
        <v>25.99</v>
      </c>
    </row>
    <row r="33" spans="1:2">
      <c r="A33" s="1" t="s">
        <v>352</v>
      </c>
      <c r="B33" s="1">
        <v>25.99</v>
      </c>
    </row>
    <row r="34" spans="1:2">
      <c r="A34" s="31" t="s">
        <v>337</v>
      </c>
      <c r="B34" s="31">
        <v>56.99</v>
      </c>
    </row>
    <row r="35" spans="1:2">
      <c r="A35" s="31" t="s">
        <v>385</v>
      </c>
      <c r="B35" s="31">
        <v>19.99</v>
      </c>
    </row>
    <row r="36" spans="1:2">
      <c r="A36" s="31" t="s">
        <v>388</v>
      </c>
      <c r="B36" s="31">
        <v>29.99</v>
      </c>
    </row>
    <row r="37" spans="1:2">
      <c r="A37" s="31" t="s">
        <v>391</v>
      </c>
      <c r="B37" s="31">
        <v>14.99</v>
      </c>
    </row>
    <row r="38" spans="1:2">
      <c r="A38" s="31" t="s">
        <v>321</v>
      </c>
      <c r="B38" s="31">
        <v>39.99</v>
      </c>
    </row>
    <row r="39" spans="1:2">
      <c r="A39" s="31" t="s">
        <v>327</v>
      </c>
      <c r="B39" s="31">
        <v>39.99</v>
      </c>
    </row>
    <row r="40" spans="1:2">
      <c r="A40" s="31" t="s">
        <v>700</v>
      </c>
      <c r="B40" s="31">
        <v>39.99</v>
      </c>
    </row>
    <row r="41" spans="1:2">
      <c r="A41" s="31" t="s">
        <v>482</v>
      </c>
      <c r="B41" s="31">
        <v>36.99</v>
      </c>
    </row>
    <row r="42" spans="1:2">
      <c r="A42" s="31" t="s">
        <v>479</v>
      </c>
      <c r="B42" s="31">
        <v>36.99</v>
      </c>
    </row>
    <row r="43" spans="1:2">
      <c r="A43" s="31" t="s">
        <v>701</v>
      </c>
      <c r="B43" s="31">
        <v>39.99</v>
      </c>
    </row>
    <row r="44" spans="1:2">
      <c r="A44" s="31" t="s">
        <v>473</v>
      </c>
      <c r="B44" s="31">
        <v>32.99</v>
      </c>
    </row>
    <row r="45" spans="1:2">
      <c r="A45" s="31" t="s">
        <v>464</v>
      </c>
      <c r="B45" s="31">
        <v>19.99</v>
      </c>
    </row>
    <row r="46" spans="1:2">
      <c r="A46" s="32" t="s">
        <v>460</v>
      </c>
      <c r="B46" s="31">
        <v>14.99</v>
      </c>
    </row>
    <row r="47" spans="1:2">
      <c r="A47" s="32" t="s">
        <v>476</v>
      </c>
      <c r="B47" s="31">
        <v>14.99</v>
      </c>
    </row>
    <row r="48" spans="1:2">
      <c r="A48" s="32" t="s">
        <v>470</v>
      </c>
      <c r="B48" s="31">
        <v>14.99</v>
      </c>
    </row>
    <row r="49" spans="1:2">
      <c r="A49" s="32" t="s">
        <v>409</v>
      </c>
      <c r="B49" s="31">
        <v>39.99</v>
      </c>
    </row>
    <row r="50" spans="1:2">
      <c r="A50" s="32" t="s">
        <v>702</v>
      </c>
      <c r="B50" s="31">
        <v>39.99</v>
      </c>
    </row>
    <row r="51" spans="1:2">
      <c r="A51" s="32" t="s">
        <v>703</v>
      </c>
      <c r="B51" s="31">
        <v>39.99</v>
      </c>
    </row>
    <row r="52" spans="1:2">
      <c r="A52" s="31" t="s">
        <v>406</v>
      </c>
      <c r="B52" s="31">
        <v>32.99</v>
      </c>
    </row>
    <row r="53" spans="1:2">
      <c r="A53" s="32" t="s">
        <v>285</v>
      </c>
      <c r="B53" s="31">
        <v>31.99</v>
      </c>
    </row>
    <row r="54" spans="1:2">
      <c r="A54" s="32" t="s">
        <v>704</v>
      </c>
      <c r="B54" s="34">
        <v>35.99</v>
      </c>
    </row>
    <row r="55" spans="1:2">
      <c r="A55" s="32" t="s">
        <v>704</v>
      </c>
      <c r="B55" s="34">
        <v>35.99</v>
      </c>
    </row>
    <row r="56" spans="1:2">
      <c r="A56" s="32" t="s">
        <v>705</v>
      </c>
      <c r="B56" s="34">
        <v>35.99</v>
      </c>
    </row>
    <row r="57" spans="1:2">
      <c r="A57" s="32" t="s">
        <v>705</v>
      </c>
      <c r="B57" s="34">
        <v>35.99</v>
      </c>
    </row>
    <row r="58" spans="1:2">
      <c r="A58" s="35" t="s">
        <v>706</v>
      </c>
      <c r="B58" s="34">
        <v>14.99</v>
      </c>
    </row>
    <row r="59" spans="1:2">
      <c r="A59" s="35" t="s">
        <v>707</v>
      </c>
      <c r="B59" s="34">
        <v>14.99</v>
      </c>
    </row>
    <row r="60" spans="1:2">
      <c r="A60" s="32" t="s">
        <v>708</v>
      </c>
      <c r="B60" s="34">
        <v>35.99</v>
      </c>
    </row>
    <row r="61" spans="1:2">
      <c r="A61" s="35" t="s">
        <v>488</v>
      </c>
      <c r="B61" s="36">
        <v>53.99</v>
      </c>
    </row>
    <row r="62" spans="1:2">
      <c r="A62" s="35" t="s">
        <v>709</v>
      </c>
      <c r="B62" s="34">
        <v>45.99</v>
      </c>
    </row>
    <row r="63" spans="1:2">
      <c r="A63" s="35" t="s">
        <v>710</v>
      </c>
      <c r="B63" s="34">
        <v>45.99</v>
      </c>
    </row>
    <row r="64" spans="1:2">
      <c r="A64" s="35" t="s">
        <v>711</v>
      </c>
      <c r="B64" s="34">
        <v>45.99</v>
      </c>
    </row>
    <row r="65" spans="1:2">
      <c r="A65" s="35" t="s">
        <v>712</v>
      </c>
      <c r="B65" s="34">
        <v>45.99</v>
      </c>
    </row>
    <row r="66" spans="1:2">
      <c r="A66" s="35" t="s">
        <v>713</v>
      </c>
      <c r="B66" s="34">
        <v>45.99</v>
      </c>
    </row>
    <row r="67" spans="1:2">
      <c r="A67" s="35" t="s">
        <v>714</v>
      </c>
      <c r="B67" s="34">
        <v>45.99</v>
      </c>
    </row>
    <row r="68" spans="1:2">
      <c r="A68" s="35" t="s">
        <v>715</v>
      </c>
      <c r="B68" s="34">
        <v>65.99</v>
      </c>
    </row>
    <row r="69" spans="1:2">
      <c r="A69" s="35" t="s">
        <v>716</v>
      </c>
      <c r="B69" s="34">
        <v>75.99</v>
      </c>
    </row>
    <row r="70" spans="1:2">
      <c r="A70" s="35" t="s">
        <v>717</v>
      </c>
      <c r="B70" s="34">
        <v>59.99</v>
      </c>
    </row>
    <row r="71" spans="1:2">
      <c r="A71" s="35" t="s">
        <v>718</v>
      </c>
      <c r="B71" s="34">
        <v>56.99</v>
      </c>
    </row>
    <row r="72" spans="1:2">
      <c r="A72" s="35" t="s">
        <v>719</v>
      </c>
      <c r="B72" s="34">
        <v>65.99</v>
      </c>
    </row>
    <row r="73" spans="1:2">
      <c r="A73" s="35" t="s">
        <v>720</v>
      </c>
      <c r="B73" s="34">
        <v>45.99</v>
      </c>
    </row>
    <row r="74" spans="1:2">
      <c r="A74" s="35" t="s">
        <v>721</v>
      </c>
      <c r="B74" s="34">
        <v>49.99</v>
      </c>
    </row>
    <row r="75" spans="1:2">
      <c r="A75" s="35" t="s">
        <v>722</v>
      </c>
      <c r="B75" s="34">
        <v>56.99</v>
      </c>
    </row>
    <row r="76" spans="1:2">
      <c r="A76" s="35" t="s">
        <v>467</v>
      </c>
      <c r="B76" s="34" t="s">
        <v>723</v>
      </c>
    </row>
    <row r="77" spans="1:2">
      <c r="A77" s="35" t="s">
        <v>485</v>
      </c>
      <c r="B77" s="34" t="s">
        <v>723</v>
      </c>
    </row>
    <row r="78" spans="1:2">
      <c r="A78" s="35" t="s">
        <v>724</v>
      </c>
      <c r="B78" s="34" t="s">
        <v>723</v>
      </c>
    </row>
    <row r="79" spans="1:2">
      <c r="A79" s="32" t="s">
        <v>696</v>
      </c>
      <c r="B79" s="34">
        <v>19.99</v>
      </c>
    </row>
    <row r="80" spans="1:2">
      <c r="A80" s="35" t="s">
        <v>725</v>
      </c>
      <c r="B80" s="34">
        <v>19.99</v>
      </c>
    </row>
    <row r="81" spans="1:2">
      <c r="A81" s="35" t="s">
        <v>726</v>
      </c>
      <c r="B81" s="34">
        <v>19.99</v>
      </c>
    </row>
    <row r="82" spans="1:2">
      <c r="A82" s="32" t="s">
        <v>727</v>
      </c>
      <c r="B82" s="34">
        <v>19.99</v>
      </c>
    </row>
    <row r="83" spans="1:2">
      <c r="A83" s="32" t="s">
        <v>728</v>
      </c>
      <c r="B83" s="34">
        <v>19.99</v>
      </c>
    </row>
    <row r="84" spans="1:2">
      <c r="A84" s="32" t="s">
        <v>729</v>
      </c>
      <c r="B84" s="34">
        <v>19.99</v>
      </c>
    </row>
    <row r="85" spans="1:2">
      <c r="A85" s="35" t="s">
        <v>730</v>
      </c>
      <c r="B85" s="34">
        <v>29.99</v>
      </c>
    </row>
    <row r="86" spans="1:2">
      <c r="A86" s="37" t="s">
        <v>731</v>
      </c>
      <c r="B86" s="35">
        <v>23.99</v>
      </c>
    </row>
    <row r="87" spans="1:2">
      <c r="A87" s="35" t="s">
        <v>732</v>
      </c>
      <c r="B87" s="34">
        <v>29.99</v>
      </c>
    </row>
    <row r="88" spans="1:2">
      <c r="A88" s="35" t="s">
        <v>733</v>
      </c>
      <c r="B88" s="34">
        <v>19.99</v>
      </c>
    </row>
    <row r="89" spans="1:2">
      <c r="A89" s="35" t="s">
        <v>734</v>
      </c>
      <c r="B89" s="34">
        <v>29.99</v>
      </c>
    </row>
    <row r="90" spans="1:2">
      <c r="A90" s="35" t="s">
        <v>735</v>
      </c>
      <c r="B90" s="34">
        <v>57.99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"/>
  <sheetViews>
    <sheetView topLeftCell="A43" workbookViewId="0">
      <selection activeCell="A37" sqref="A37:A80"/>
    </sheetView>
  </sheetViews>
  <sheetFormatPr defaultColWidth="9" defaultRowHeight="14.25" outlineLevelCol="2"/>
  <sheetData>
    <row r="1" spans="1:3">
      <c r="A1" s="84" t="s">
        <v>561</v>
      </c>
      <c r="B1" s="1">
        <v>65.99</v>
      </c>
      <c r="C1" s="1">
        <v>45.99</v>
      </c>
    </row>
    <row r="2" spans="1:3">
      <c r="A2" s="84" t="s">
        <v>562</v>
      </c>
      <c r="B2" s="1">
        <v>65.99</v>
      </c>
      <c r="C2" s="1">
        <v>45.99</v>
      </c>
    </row>
    <row r="3" spans="1:3">
      <c r="A3" s="84" t="s">
        <v>563</v>
      </c>
      <c r="B3" s="1">
        <v>65.99</v>
      </c>
      <c r="C3" s="1">
        <v>45.99</v>
      </c>
    </row>
    <row r="4" spans="1:3">
      <c r="A4" s="84" t="s">
        <v>564</v>
      </c>
      <c r="B4" s="1">
        <v>69.99</v>
      </c>
      <c r="C4" s="1">
        <v>56.99</v>
      </c>
    </row>
    <row r="5" spans="1:3">
      <c r="A5" s="84" t="s">
        <v>565</v>
      </c>
      <c r="B5" s="1">
        <v>99.99</v>
      </c>
      <c r="C5" s="1">
        <v>56.99</v>
      </c>
    </row>
    <row r="6" spans="1:3">
      <c r="A6" s="84" t="s">
        <v>566</v>
      </c>
      <c r="B6" s="1">
        <v>99.99</v>
      </c>
      <c r="C6" s="1">
        <v>56.99</v>
      </c>
    </row>
    <row r="7" spans="1:3">
      <c r="A7" s="84" t="s">
        <v>567</v>
      </c>
      <c r="B7" s="1">
        <v>99.99</v>
      </c>
      <c r="C7" s="1">
        <v>53.99</v>
      </c>
    </row>
    <row r="8" spans="1:3">
      <c r="A8" s="84" t="s">
        <v>568</v>
      </c>
      <c r="B8" s="1">
        <v>65.99</v>
      </c>
      <c r="C8" s="1">
        <v>45.99</v>
      </c>
    </row>
    <row r="9" spans="1:3">
      <c r="A9" s="84" t="s">
        <v>570</v>
      </c>
      <c r="B9" s="1">
        <v>69.99</v>
      </c>
      <c r="C9" s="1">
        <v>53.99</v>
      </c>
    </row>
    <row r="10" spans="1:3">
      <c r="A10" s="84" t="s">
        <v>571</v>
      </c>
      <c r="B10" s="2" t="s">
        <v>736</v>
      </c>
      <c r="C10" s="2" t="s">
        <v>737</v>
      </c>
    </row>
    <row r="11" spans="1:3">
      <c r="A11" s="84" t="s">
        <v>572</v>
      </c>
      <c r="B11" s="1">
        <v>49.99</v>
      </c>
      <c r="C11" s="1">
        <v>39.99</v>
      </c>
    </row>
    <row r="12" spans="1:3">
      <c r="A12" s="84" t="s">
        <v>573</v>
      </c>
      <c r="B12" s="1">
        <v>49.99</v>
      </c>
      <c r="C12" s="1">
        <v>39.99</v>
      </c>
    </row>
    <row r="13" spans="1:3">
      <c r="A13" s="84" t="s">
        <v>574</v>
      </c>
      <c r="B13" s="1">
        <v>59.99</v>
      </c>
      <c r="C13" s="1">
        <v>49.99</v>
      </c>
    </row>
    <row r="14" spans="1:3">
      <c r="A14" s="84" t="s">
        <v>575</v>
      </c>
      <c r="B14" s="1">
        <v>59.99</v>
      </c>
      <c r="C14" s="1">
        <v>45.99</v>
      </c>
    </row>
    <row r="15" spans="1:3">
      <c r="A15" s="84" t="s">
        <v>576</v>
      </c>
      <c r="B15" s="1">
        <v>69.99</v>
      </c>
      <c r="C15" s="1">
        <v>45.99</v>
      </c>
    </row>
    <row r="16" spans="1:3">
      <c r="A16" s="84" t="s">
        <v>577</v>
      </c>
      <c r="B16" s="1">
        <v>69.99</v>
      </c>
      <c r="C16" s="1">
        <v>53.99</v>
      </c>
    </row>
    <row r="17" spans="1:3">
      <c r="A17" s="84" t="s">
        <v>578</v>
      </c>
      <c r="B17" s="1">
        <v>69.99</v>
      </c>
      <c r="C17" s="1">
        <v>53.99</v>
      </c>
    </row>
    <row r="18" spans="1:3">
      <c r="A18" s="84" t="s">
        <v>579</v>
      </c>
      <c r="B18" s="1">
        <v>65.99</v>
      </c>
      <c r="C18" s="1">
        <v>49.99</v>
      </c>
    </row>
    <row r="19" spans="1:3">
      <c r="A19" s="84" t="s">
        <v>580</v>
      </c>
      <c r="B19" s="3">
        <v>66.99</v>
      </c>
      <c r="C19" s="4">
        <v>42.99</v>
      </c>
    </row>
    <row r="20" spans="1:3">
      <c r="A20" s="84" t="s">
        <v>581</v>
      </c>
      <c r="B20" s="5">
        <v>99.99</v>
      </c>
      <c r="C20" s="5">
        <v>59.99</v>
      </c>
    </row>
    <row r="21" spans="1:3">
      <c r="A21" s="84" t="s">
        <v>582</v>
      </c>
      <c r="B21" s="5">
        <v>99.99</v>
      </c>
      <c r="C21" s="5">
        <v>59.99</v>
      </c>
    </row>
    <row r="22" spans="1:3">
      <c r="A22" s="84" t="s">
        <v>583</v>
      </c>
      <c r="B22" s="5">
        <v>99.99</v>
      </c>
      <c r="C22" s="5">
        <v>59.99</v>
      </c>
    </row>
    <row r="23" spans="1:3">
      <c r="A23" s="84" t="s">
        <v>584</v>
      </c>
      <c r="B23" s="5">
        <v>99.99</v>
      </c>
      <c r="C23" s="5">
        <v>59.99</v>
      </c>
    </row>
    <row r="24" spans="1:3">
      <c r="A24" s="84" t="s">
        <v>585</v>
      </c>
      <c r="B24" s="6">
        <v>36.99</v>
      </c>
      <c r="C24" s="7">
        <v>25.99</v>
      </c>
    </row>
    <row r="25" spans="1:3">
      <c r="A25" s="84" t="s">
        <v>586</v>
      </c>
      <c r="B25" s="8">
        <v>54.99</v>
      </c>
      <c r="C25" s="8">
        <v>25.99</v>
      </c>
    </row>
    <row r="26" spans="1:3">
      <c r="A26" s="84" t="s">
        <v>587</v>
      </c>
      <c r="B26" s="8">
        <v>44.99</v>
      </c>
      <c r="C26" s="8">
        <v>26.99</v>
      </c>
    </row>
    <row r="27" spans="1:3">
      <c r="A27" s="84" t="s">
        <v>588</v>
      </c>
      <c r="B27" s="8">
        <v>66.65</v>
      </c>
      <c r="C27" s="8">
        <v>39.99</v>
      </c>
    </row>
    <row r="28" spans="1:3">
      <c r="A28" s="84" t="s">
        <v>589</v>
      </c>
      <c r="B28" s="7">
        <v>71.65</v>
      </c>
      <c r="C28" s="7">
        <v>42.99</v>
      </c>
    </row>
    <row r="29" spans="1:3">
      <c r="A29" s="84" t="s">
        <v>591</v>
      </c>
      <c r="B29" s="7">
        <v>39.99</v>
      </c>
      <c r="C29" s="7">
        <v>23.99</v>
      </c>
    </row>
    <row r="30" spans="1:3">
      <c r="A30" s="84" t="s">
        <v>593</v>
      </c>
      <c r="B30" s="7">
        <v>39.99</v>
      </c>
      <c r="C30" s="7">
        <v>19.99</v>
      </c>
    </row>
    <row r="31" spans="1:3">
      <c r="A31" s="84" t="s">
        <v>595</v>
      </c>
      <c r="B31" s="7">
        <v>83.99</v>
      </c>
      <c r="C31" s="7">
        <v>49.99</v>
      </c>
    </row>
    <row r="32" spans="1:3">
      <c r="A32" s="84" t="s">
        <v>597</v>
      </c>
      <c r="B32" s="7">
        <v>49.99</v>
      </c>
      <c r="C32" s="7">
        <v>29.99</v>
      </c>
    </row>
    <row r="33" spans="1:3">
      <c r="A33" s="84" t="s">
        <v>599</v>
      </c>
      <c r="B33" s="9">
        <v>24.99</v>
      </c>
      <c r="C33" s="9">
        <v>14.99</v>
      </c>
    </row>
    <row r="34" spans="1:3">
      <c r="A34" s="84" t="s">
        <v>600</v>
      </c>
      <c r="B34" s="9">
        <v>66.99</v>
      </c>
      <c r="C34" s="9">
        <v>33.99</v>
      </c>
    </row>
    <row r="35" spans="1:3">
      <c r="A35" s="84" t="s">
        <v>602</v>
      </c>
      <c r="B35" s="10">
        <v>66.99</v>
      </c>
      <c r="C35" s="10">
        <v>29.99</v>
      </c>
    </row>
    <row r="36" spans="1:3">
      <c r="A36" s="84" t="s">
        <v>587</v>
      </c>
      <c r="B36" s="8">
        <v>44.99</v>
      </c>
      <c r="C36" s="8">
        <v>26.99</v>
      </c>
    </row>
    <row r="37" spans="1:3">
      <c r="A37" s="11" t="s">
        <v>491</v>
      </c>
      <c r="B37" s="12">
        <v>69.99</v>
      </c>
      <c r="C37" s="12">
        <v>45.99</v>
      </c>
    </row>
    <row r="38" spans="1:3">
      <c r="A38" s="85" t="s">
        <v>492</v>
      </c>
      <c r="B38" s="12">
        <v>69.99</v>
      </c>
      <c r="C38" s="12">
        <v>48.99</v>
      </c>
    </row>
    <row r="39" spans="1:3">
      <c r="A39" s="14" t="s">
        <v>493</v>
      </c>
      <c r="B39" s="12">
        <v>69.99</v>
      </c>
      <c r="C39" s="12">
        <v>45.99</v>
      </c>
    </row>
    <row r="40" spans="1:3">
      <c r="A40" s="85" t="s">
        <v>494</v>
      </c>
      <c r="B40" s="15" t="s">
        <v>738</v>
      </c>
      <c r="C40" s="16" t="s">
        <v>739</v>
      </c>
    </row>
    <row r="41" spans="1:3">
      <c r="A41" s="85" t="s">
        <v>495</v>
      </c>
      <c r="B41" s="15" t="s">
        <v>738</v>
      </c>
      <c r="C41" s="12">
        <v>45.99</v>
      </c>
    </row>
    <row r="42" spans="1:3">
      <c r="A42" s="85" t="s">
        <v>496</v>
      </c>
      <c r="B42" s="17">
        <v>99.99</v>
      </c>
      <c r="C42" s="12">
        <v>39.99</v>
      </c>
    </row>
    <row r="43" spans="1:3">
      <c r="A43" s="14" t="s">
        <v>497</v>
      </c>
      <c r="B43" s="12">
        <v>69.99</v>
      </c>
      <c r="C43" s="12">
        <v>45.99</v>
      </c>
    </row>
    <row r="44" spans="1:3">
      <c r="A44" s="11" t="s">
        <v>498</v>
      </c>
      <c r="B44" s="12">
        <v>69.99</v>
      </c>
      <c r="C44" s="12">
        <v>48.99</v>
      </c>
    </row>
    <row r="45" spans="1:3">
      <c r="A45" s="85" t="s">
        <v>500</v>
      </c>
      <c r="B45" s="12">
        <v>59.99</v>
      </c>
      <c r="C45" s="12">
        <v>41.99</v>
      </c>
    </row>
    <row r="46" spans="1:3">
      <c r="A46" s="85" t="s">
        <v>501</v>
      </c>
      <c r="B46" s="12">
        <v>49.99</v>
      </c>
      <c r="C46" s="12">
        <v>31.99</v>
      </c>
    </row>
    <row r="47" spans="1:3">
      <c r="A47" s="85" t="s">
        <v>502</v>
      </c>
      <c r="B47" s="12">
        <v>59.99</v>
      </c>
      <c r="C47" s="12">
        <v>45.99</v>
      </c>
    </row>
    <row r="48" spans="1:3">
      <c r="A48" s="85" t="s">
        <v>503</v>
      </c>
      <c r="B48" s="18">
        <v>69.99</v>
      </c>
      <c r="C48" s="18">
        <v>45.99</v>
      </c>
    </row>
    <row r="49" spans="1:3">
      <c r="A49" s="85" t="s">
        <v>504</v>
      </c>
      <c r="B49" s="18">
        <v>69.99</v>
      </c>
      <c r="C49" s="18">
        <v>45.99</v>
      </c>
    </row>
    <row r="50" spans="1:3">
      <c r="A50" s="85" t="s">
        <v>505</v>
      </c>
      <c r="B50" s="18">
        <v>69.99</v>
      </c>
      <c r="C50" s="18">
        <v>45.99</v>
      </c>
    </row>
    <row r="51" spans="1:3">
      <c r="A51" s="85" t="s">
        <v>506</v>
      </c>
      <c r="B51" s="18">
        <v>65.99</v>
      </c>
      <c r="C51" s="18">
        <v>41.99</v>
      </c>
    </row>
    <row r="52" spans="1:3">
      <c r="A52" s="85" t="s">
        <v>508</v>
      </c>
      <c r="B52" s="19">
        <v>66.99</v>
      </c>
      <c r="C52" s="20">
        <v>42.99</v>
      </c>
    </row>
    <row r="53" spans="1:3">
      <c r="A53" s="85" t="s">
        <v>510</v>
      </c>
      <c r="B53" s="19">
        <v>79.99</v>
      </c>
      <c r="C53" s="20">
        <v>52.99</v>
      </c>
    </row>
    <row r="54" spans="1:3">
      <c r="A54" s="85" t="s">
        <v>512</v>
      </c>
      <c r="B54" s="19">
        <v>66.99</v>
      </c>
      <c r="C54" s="20">
        <v>42.99</v>
      </c>
    </row>
    <row r="55" spans="1:3">
      <c r="A55" s="85" t="s">
        <v>514</v>
      </c>
      <c r="B55" s="19">
        <v>69.99</v>
      </c>
      <c r="C55" s="20">
        <v>51.99</v>
      </c>
    </row>
    <row r="56" spans="1:3">
      <c r="A56" s="85" t="s">
        <v>516</v>
      </c>
      <c r="B56" s="21">
        <v>69.99</v>
      </c>
      <c r="C56" s="22">
        <v>42.99</v>
      </c>
    </row>
    <row r="57" spans="1:3">
      <c r="A57" s="85" t="s">
        <v>518</v>
      </c>
      <c r="B57" s="17">
        <v>99.99</v>
      </c>
      <c r="C57" s="7">
        <v>59.99</v>
      </c>
    </row>
    <row r="58" spans="1:3">
      <c r="A58" s="85" t="s">
        <v>519</v>
      </c>
      <c r="B58" s="17">
        <v>99.99</v>
      </c>
      <c r="C58" s="7">
        <v>48.99</v>
      </c>
    </row>
    <row r="59" spans="1:3">
      <c r="A59" s="85" t="s">
        <v>521</v>
      </c>
      <c r="B59" s="17">
        <v>99.99</v>
      </c>
      <c r="C59" s="7">
        <v>56.99</v>
      </c>
    </row>
    <row r="60" spans="1:3">
      <c r="A60" s="85" t="s">
        <v>523</v>
      </c>
      <c r="B60" s="17">
        <v>99.99</v>
      </c>
      <c r="C60" s="7">
        <v>59.99</v>
      </c>
    </row>
    <row r="61" spans="1:3">
      <c r="A61" s="85" t="s">
        <v>525</v>
      </c>
      <c r="B61" s="17">
        <v>99.99</v>
      </c>
      <c r="C61" s="7">
        <v>59.99</v>
      </c>
    </row>
    <row r="62" spans="1:3">
      <c r="A62" s="86" t="s">
        <v>527</v>
      </c>
      <c r="B62" s="24">
        <v>69.99</v>
      </c>
      <c r="C62" s="7">
        <v>42.99</v>
      </c>
    </row>
    <row r="63" spans="1:3">
      <c r="A63" s="85" t="s">
        <v>529</v>
      </c>
      <c r="B63" s="12">
        <v>59.99</v>
      </c>
      <c r="C63" s="12">
        <v>45.99</v>
      </c>
    </row>
    <row r="64" spans="1:3">
      <c r="A64" s="14" t="s">
        <v>531</v>
      </c>
      <c r="B64" s="12">
        <v>49.99</v>
      </c>
      <c r="C64" s="12">
        <v>41.99</v>
      </c>
    </row>
    <row r="65" spans="1:3">
      <c r="A65" s="86" t="s">
        <v>533</v>
      </c>
      <c r="B65" s="25">
        <v>56.99</v>
      </c>
      <c r="C65" s="25">
        <v>33.99</v>
      </c>
    </row>
    <row r="66" spans="1:3">
      <c r="A66" s="86" t="s">
        <v>535</v>
      </c>
      <c r="B66" s="25">
        <v>44.99</v>
      </c>
      <c r="C66" s="26">
        <v>26.99</v>
      </c>
    </row>
    <row r="67" spans="1:3">
      <c r="A67" s="86" t="s">
        <v>537</v>
      </c>
      <c r="B67" s="25">
        <v>54.99</v>
      </c>
      <c r="C67" s="25">
        <v>32.99</v>
      </c>
    </row>
    <row r="68" spans="1:3">
      <c r="A68" s="86" t="s">
        <v>539</v>
      </c>
      <c r="B68" s="25">
        <v>44.99</v>
      </c>
      <c r="C68" s="26">
        <v>26.99</v>
      </c>
    </row>
    <row r="69" spans="1:3">
      <c r="A69" s="87" t="s">
        <v>540</v>
      </c>
      <c r="B69" s="28">
        <v>66.65</v>
      </c>
      <c r="C69" s="25">
        <v>39.99</v>
      </c>
    </row>
    <row r="70" spans="1:3">
      <c r="A70" s="87" t="s">
        <v>542</v>
      </c>
      <c r="B70" s="28">
        <v>59.98</v>
      </c>
      <c r="C70" s="25">
        <v>35.99</v>
      </c>
    </row>
    <row r="71" spans="1:3">
      <c r="A71" s="87" t="s">
        <v>544</v>
      </c>
      <c r="B71" s="28">
        <v>39.98</v>
      </c>
      <c r="C71" s="26">
        <v>23.99</v>
      </c>
    </row>
    <row r="72" spans="1:3">
      <c r="A72" s="87" t="s">
        <v>546</v>
      </c>
      <c r="B72" s="28">
        <v>44.98</v>
      </c>
      <c r="C72" s="26">
        <v>26.99</v>
      </c>
    </row>
    <row r="73" spans="1:3">
      <c r="A73" s="87" t="s">
        <v>548</v>
      </c>
      <c r="B73" s="7">
        <v>71.65</v>
      </c>
      <c r="C73" s="7">
        <v>42.99</v>
      </c>
    </row>
    <row r="74" spans="1:3">
      <c r="A74" s="29" t="s">
        <v>550</v>
      </c>
      <c r="B74" s="30">
        <v>47.29</v>
      </c>
      <c r="C74" s="30">
        <v>28.99</v>
      </c>
    </row>
    <row r="75" spans="1:3">
      <c r="A75" s="29" t="s">
        <v>552</v>
      </c>
      <c r="B75" s="30">
        <v>41.43</v>
      </c>
      <c r="C75" s="30">
        <v>25.99</v>
      </c>
    </row>
    <row r="76" spans="1:3">
      <c r="A76" s="29" t="s">
        <v>554</v>
      </c>
      <c r="B76" s="30">
        <v>13.71</v>
      </c>
      <c r="C76" s="30">
        <v>9.99</v>
      </c>
    </row>
    <row r="77" spans="1:3">
      <c r="A77" s="29" t="s">
        <v>556</v>
      </c>
      <c r="B77" s="30">
        <v>35.99</v>
      </c>
      <c r="C77" s="30">
        <v>21.99</v>
      </c>
    </row>
    <row r="78" spans="1:3">
      <c r="A78" s="85" t="s">
        <v>518</v>
      </c>
      <c r="B78" s="17">
        <v>99.99</v>
      </c>
      <c r="C78" s="7">
        <v>59.99</v>
      </c>
    </row>
    <row r="79" spans="1:3">
      <c r="A79" s="86" t="s">
        <v>558</v>
      </c>
      <c r="B79" s="17">
        <v>99.99</v>
      </c>
      <c r="C79" s="7">
        <v>59.99</v>
      </c>
    </row>
    <row r="80" spans="1:3">
      <c r="A80" s="86" t="s">
        <v>559</v>
      </c>
      <c r="B80" s="17">
        <v>99.99</v>
      </c>
      <c r="C80" s="7">
        <v>59.99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导入模板</vt:lpstr>
      <vt:lpstr>字段说明</vt:lpstr>
      <vt:lpstr>填写选项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zxxz</cp:lastModifiedBy>
  <dcterms:created xsi:type="dcterms:W3CDTF">2026-07-23T10:33:00Z</dcterms:created>
  <dcterms:modified xsi:type="dcterms:W3CDTF">2026-07-27T02:12:24Z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8AC3575EE7E5AC59D97D616A231C1A98_42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
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AI工作栈搭建\09_自动化工具\field_diagnostics\2026-07-29_账号维护_渠道号字段诊断\outputs\2026-07-29_account_cross_module_unified_fields_ordered\"/>
    </mc:Choice>
  </mc:AlternateContent>
  <bookViews>
    <workbookView windowHeight="17565"/>
  </bookViews>
  <sheets>
    <sheet name="统一结论" sheetId="1" r:id="rId1"/>
    <sheet name="统一字段字典" sheetId="2" r:id="rId2"/>
    <sheet name="渠道号原字段映射" sheetId="3" r:id="rId3"/>
    <sheet name="达人号原字段映射" sheetId="4" r:id="rId4"/>
    <sheet name="站点店铺联动" sheetId="5" r:id="rId5"/>
    <sheet name="清洗与派生规则" sheetId="6" r:id="rId6"/>
    <sheet name="TAP预留字段"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851195BE5BE44EF1AD61E3665CC75F8F"/>
        <xdr:cNvPicPr>
          <a:picLocks noChangeAspect="1"/>
        </xdr:cNvPicPr>
      </xdr:nvPicPr>
      <xdr:blipFill>
        <a:blip r:embed="rId1"/>
        <a:stretch>
          <a:fillRect/>
        </a:stretch>
      </xdr:blipFill>
      <xdr:spPr>
        <a:xfrm>
          <a:off x="16325850" y="2092325"/>
          <a:ext cx="3219450" cy="3876675"/>
        </a:xfrm>
        <a:prstGeom prst="rect">
          <a:avLst/>
        </a:prstGeom>
        <a:noFill/>
        <a:ln w="9525">
          <a:noFill/>
        </a:ln>
      </xdr:spPr>
    </xdr:pic>
  </etc:cellImage>
</etc:cellImages>
</file>

<file path=xl/sharedStrings.xml><?xml version="1.0" encoding="utf-8"?>
<sst xmlns="http://schemas.openxmlformats.org/spreadsheetml/2006/main" count="679" uniqueCount="410">
  <si>
    <t>项目</t>
  </si>
  <si>
    <t>结论 / 给 IT 的执行口径</t>
  </si>
  <si>
    <t>系统模块</t>
  </si>
  <si>
    <t>截图确认账号维护当前有：全部账号、渠道号、达人号、TAP机构号。桌面本次实际收到渠道号映射表、达人号源表；未收到 TAP 机构号源表。</t>
  </si>
  <si>
    <t>核心结论</t>
  </si>
  <si>
    <t>字段应按“统一账号主表 + 模块扩展字段 + 店铺维表/派生字段”设计。全部账号页展示统一字段；渠道号/达人号/TAP页按账号类型过滤并展示各自扩展字段。</t>
  </si>
  <si>
    <t>字段顺序</t>
  </si>
  <si>
    <t>本版已按用户手工调整顺序重排：先展示平台、站点、绑定/挂车店铺、Shop Code、后台店铺名、店铺绑定状态，再展示账号主页、昵称、UID、账号类型和模块扩展字段。</t>
  </si>
  <si>
    <t>站点字段</t>
  </si>
  <si>
    <t>按用户 H 列意见，将原“区域”和“国家/站点”合并为统一字段“站点”，前端统一展示英文枚举：US、UK、DE、SP、FR、IT；导入时 GB 统一映射为 UK，美区/美国等统一映射为 US。</t>
  </si>
  <si>
    <t>店铺字段</t>
  </si>
  <si>
    <t>按用户 H 列意见，将“内容挂车店铺”和“账号归属店铺”合并为“绑定/挂车店铺”；“Shop Code”和“后台绑定店铺名”由店铺维表联动，不建议分开手填。</t>
  </si>
  <si>
    <t>账号类型</t>
  </si>
  <si>
    <t>统一账号类型枚举：自有达人、机构达人、官方账号、渠道账号、剪辑账号。原渠道号表“渠道号”建议映射为“渠道账号”；达人号表需后续按来源/TAP关系拆成“自有达人/机构达人”。</t>
  </si>
  <si>
    <t>清洗重点</t>
  </si>
  <si>
    <t>渠道号源表主要占位值为 38；达人号源表主要占位值为 32，店铺字段还出现 0。导入时应统一转为空值/待确认，不允许进入正式枚举。</t>
  </si>
  <si>
    <t>TAP 处理</t>
  </si>
  <si>
    <t>TAP 机构号模块暂缺源表，本版只给出预留字段和命名原则；收到 TAP 源表后需补做原字段完整映射。</t>
  </si>
  <si>
    <t>统一顺序</t>
  </si>
  <si>
    <t>字段分组</t>
  </si>
  <si>
    <t>统一字段名</t>
  </si>
  <si>
    <t>字段层级</t>
  </si>
  <si>
    <t>适用模块</t>
  </si>
  <si>
    <t>格式/枚举</t>
  </si>
  <si>
    <t>是否前端展示</t>
  </si>
  <si>
    <t>是否人工维护</t>
  </si>
  <si>
    <t>统一说明</t>
  </si>
  <si>
    <t>依据和理由</t>
  </si>
  <si>
    <t>账号基础</t>
  </si>
  <si>
    <t>平台</t>
  </si>
  <si>
    <t>账号主表</t>
  </si>
  <si>
    <t>全部账号、渠道号、达人号；TAP待确认</t>
  </si>
  <si>
    <t>TikTok</t>
  </si>
  <si>
    <t>可隐藏</t>
  </si>
  <si>
    <t>系统默认</t>
  </si>
  <si>
    <t>当前均为 TikTok；跨平台时再展示。</t>
  </si>
  <si>
    <t>渠道号、达人号平台均 100% TikTok。</t>
  </si>
  <si>
    <t>站点店铺</t>
  </si>
  <si>
    <t>站点</t>
  </si>
  <si>
    <t>账号主表/筛选字段</t>
  </si>
  <si>
    <t>全部账号、渠道号、达人号、TAP机构号</t>
  </si>
  <si>
    <t>US、UK、DE、SP、FR、IT</t>
  </si>
  <si>
    <t>是</t>
  </si>
  <si>
    <t>选择/导入清洗</t>
  </si>
  <si>
    <t>由原“区域”和“国家/站点”合并；先选站点再联动店铺。</t>
  </si>
  <si>
    <t>用户 H 列明确要求合并区域和国家/站点，并统一用英文缩写展示。</t>
  </si>
  <si>
    <t>绑定/挂车店铺</t>
  </si>
  <si>
    <t>账号主表/店铺维表引用</t>
  </si>
  <si>
    <t>渠道号、达人号；TAP待确认</t>
  </si>
  <si>
    <t>店铺枚举，受站点过滤</t>
  </si>
  <si>
    <t>由“内容挂车店铺”和“账号归属店铺”合并；默认作为账号当前绑定/可挂车店铺。</t>
  </si>
  <si>
    <t>用户 H 列要求账号归属店铺跟内容挂车店铺合并；两张源表均同时存在这两个字段。</t>
  </si>
  <si>
    <t>Shop Code</t>
  </si>
  <si>
    <t>店铺维表字段</t>
  </si>
  <si>
    <t>渠道号、达人号、TAP机构号</t>
  </si>
  <si>
    <t>文本编码</t>
  </si>
  <si>
    <t>由店铺选择带出</t>
  </si>
  <si>
    <t>选择绑定/挂车店铺后写入；不与后台店铺名分开人工维护。</t>
  </si>
  <si>
    <t>用户 H 列给出站点-店铺编码-后台店铺名联动清单。</t>
  </si>
  <si>
    <t>后台店铺名</t>
  </si>
  <si>
    <t>文本</t>
  </si>
  <si>
    <t>派生</t>
  </si>
  <si>
    <t>由 Shop Code 派生展示。</t>
  </si>
  <si>
    <t>渠道号和达人号中 Shop Code 均能对应后台店铺名；用户要求筛选框联动。</t>
  </si>
  <si>
    <t>店铺绑定状态</t>
  </si>
  <si>
    <t>系统派生字段</t>
  </si>
  <si>
    <t>渠道号、达人号、剪辑账号</t>
  </si>
  <si>
    <t>已绑定、未绑定、待确认</t>
  </si>
  <si>
    <t>由 Shop Code/视频绑定数据识别。</t>
  </si>
  <si>
    <t>用户 H 列说明渠道号剪辑使用可从视频数据抓取绑定店铺账号识别为是。</t>
  </si>
  <si>
    <t>TikTok主页链接</t>
  </si>
  <si>
    <t>URL/文本</t>
  </si>
  <si>
    <t>导入/系统解析</t>
  </si>
  <si>
    <t>用于点击跳转 TikTok 主页；若源表只有 handle，系统生成 URL。</t>
  </si>
  <si>
    <t>用户 H 列强调 URL 需要能快速跳转 TK 主页；原字段为“账号/主页”。</t>
  </si>
  <si>
    <t>账号昵称</t>
  </si>
  <si>
    <t>展示昵称，不作为唯一主键。</t>
  </si>
  <si>
    <t>渠道号、达人号均有该字段且非空。</t>
  </si>
  <si>
    <t>TikTok UID</t>
  </si>
  <si>
    <t>文本；16-22 位数字</t>
  </si>
  <si>
    <t>导入/补录</t>
  </si>
  <si>
    <t>按文本存储，避免长数字精度丢失；32/38 视为空。</t>
  </si>
  <si>
    <t>达人号 UID 中 32 有 17643/19309；渠道号 UID 有 3 条 38、1 条 1556 异常。</t>
  </si>
  <si>
    <t>自有达人、机构达人、官方账号、渠道账号、剪辑账号</t>
  </si>
  <si>
    <t>系统判断+人工修正</t>
  </si>
  <si>
    <t>作为模块过滤主字段；“是否是剪辑”并入该字段，不再单独维护。</t>
  </si>
  <si>
    <t>用户 H 列明确给出账号类型枚举及定义，并认为“是否是剪辑”可合并到账号类型。</t>
  </si>
  <si>
    <t>责任归属</t>
  </si>
  <si>
    <t>账号负责人</t>
  </si>
  <si>
    <t>渠道号、达人号、TAP待确认</t>
  </si>
  <si>
    <t>人员选择</t>
  </si>
  <si>
    <t>统一替代“归属人员”。</t>
  </si>
  <si>
    <t>用户 H 列要求结合达人表一起命名；两张源表均有归属人员。</t>
  </si>
  <si>
    <t>账号状态</t>
  </si>
  <si>
    <t>账号主表/派生字段</t>
  </si>
  <si>
    <t>全部账号、渠道号、达人号</t>
  </si>
  <si>
    <t>活跃、暂停、停用、待确认、作废、已解绑</t>
  </si>
  <si>
    <t>派生+人工修正</t>
  </si>
  <si>
    <t>可由近期活跃、视频/订单等识别，允许人工修正。</t>
  </si>
  <si>
    <t>用户 H 列建议识别近期有活跃则标活跃；达人号当前 32 有 19307/19309，需清洗。</t>
  </si>
  <si>
    <t>账号画像</t>
  </si>
  <si>
    <t>账号/达人性别</t>
  </si>
  <si>
    <t>渠道号、达人号</t>
  </si>
  <si>
    <t>男、女、其他、待确认</t>
  </si>
  <si>
    <t>是/导入</t>
  </si>
  <si>
    <t>渠道号偏账号人设，达人号偏达人性别，但字段名统一。</t>
  </si>
  <si>
    <t>用户 H 列给出枚举并说明达人视角是男达人/女达人。</t>
  </si>
  <si>
    <t>达人扩展</t>
  </si>
  <si>
    <t>达人来源</t>
  </si>
  <si>
    <t>达人扩展字段</t>
  </si>
  <si>
    <t>达人号</t>
  </si>
  <si>
    <t>联盟广场、TAP、手工拓展等</t>
  </si>
  <si>
    <t>达人号展示</t>
  </si>
  <si>
    <t>导入/人工</t>
  </si>
  <si>
    <t>渠道号不显示；达人号保留。</t>
  </si>
  <si>
    <t>渠道号不存在达人来源；达人号 19309/19309 为联盟广场。</t>
  </si>
  <si>
    <t>达人等级</t>
  </si>
  <si>
    <t>L1、L2、L3、L4、L5、待评级</t>
  </si>
  <si>
    <t>32 转为空/待评级。</t>
  </si>
  <si>
    <t>达人号达人等级有 L1-L5，同时 32 有 9902/19309；渠道号不存在达人等级。</t>
  </si>
  <si>
    <t>合作模式</t>
  </si>
  <si>
    <t>纯佣、付费+纯佣、付费、待确认</t>
  </si>
  <si>
    <t>渠道号不显示；达人合作关系中维护。</t>
  </si>
  <si>
    <t>用户 H 列给出合作模式枚举；达人号源表当前合作模式 32 为 19309/19309，需补录。</t>
  </si>
  <si>
    <t>交易派生</t>
  </si>
  <si>
    <t>开单状态</t>
  </si>
  <si>
    <t>订单派生字段</t>
  </si>
  <si>
    <t>达人号、全部账号</t>
  </si>
  <si>
    <t>已开单、未开单、待同步</t>
  </si>
  <si>
    <t>由历史订单自动标记；不作为手工字段。</t>
  </si>
  <si>
    <t>用户 H 列说明历史有过开单记录的达人自动标记；达人号源表已有是/否。</t>
  </si>
  <si>
    <t>登录配置</t>
  </si>
  <si>
    <t>登录邮箱</t>
  </si>
  <si>
    <t>账号扩展字段</t>
  </si>
  <si>
    <t>官方账号、渠道账号、剪辑账号</t>
  </si>
  <si>
    <t>邮箱/空</t>
  </si>
  <si>
    <t>条件展示</t>
  </si>
  <si>
    <t>只在官方账号、渠道账号、剪辑账号显示；达人账号无。</t>
  </si>
  <si>
    <t>用户 H 列明确这些登录字段仅适用于官方/渠道/剪辑账号。</t>
  </si>
  <si>
    <t>邮箱密码是否已配置</t>
  </si>
  <si>
    <t>是、否、无需</t>
  </si>
  <si>
    <t>只记录配置状态，不存明文密码。</t>
  </si>
  <si>
    <t>用户 H 列明确仅特定账号类型有，否则无。</t>
  </si>
  <si>
    <t>TikTok密码是否已配置</t>
  </si>
  <si>
    <t>环境配置</t>
  </si>
  <si>
    <t>网络线路/代理节点</t>
  </si>
  <si>
    <t>节点下拉/无需</t>
  </si>
  <si>
    <t>只在需要登录运营的账号展示；达人账号无。</t>
  </si>
  <si>
    <t>用户 H 列明确仅特定账号类型有，否则无；渠道号源表该字段有效值较多。</t>
  </si>
  <si>
    <t>标签备注</t>
  </si>
  <si>
    <t>账号标签</t>
  </si>
  <si>
    <t>账号主表可选字段</t>
  </si>
  <si>
    <t>全部账号</t>
  </si>
  <si>
    <t>多选标签</t>
  </si>
  <si>
    <t>按需展示</t>
  </si>
  <si>
    <t>只承载账号维度标签；内容来源改到视频维度。</t>
  </si>
  <si>
    <t>用户 H 列明确内容来源作为 video 维度，不在账号维度。</t>
  </si>
  <si>
    <t>备注</t>
  </si>
  <si>
    <t>长文本</t>
  </si>
  <si>
    <t>手工可编辑口，只放无法结构化说明。</t>
  </si>
  <si>
    <t>用户 H 列说明备注保留手工编辑口。</t>
  </si>
  <si>
    <t>系统字段</t>
  </si>
  <si>
    <t>创建时间</t>
  </si>
  <si>
    <t>日期时间</t>
  </si>
  <si>
    <t>否</t>
  </si>
  <si>
    <t>系统生成。</t>
  </si>
  <si>
    <t>用户 H 列标注 OK。</t>
  </si>
  <si>
    <t>更新时间</t>
  </si>
  <si>
    <t>原序号</t>
  </si>
  <si>
    <t>原列</t>
  </si>
  <si>
    <t>渠道号原字段完整名称</t>
  </si>
  <si>
    <t>统一字段建议</t>
  </si>
  <si>
    <t>建议动作</t>
  </si>
  <si>
    <t>用户H列补充</t>
  </si>
  <si>
    <t>E</t>
  </si>
  <si>
    <t>保留默认/可隐藏</t>
  </si>
  <si>
    <t>源表 80 行；非空 80/80，空白 0/80，唯一值 1，38=0（0.0%）。主要值：TikTok(80)。</t>
  </si>
  <si>
    <t>F</t>
  </si>
  <si>
    <t>区域</t>
  </si>
  <si>
    <t>与国家/站点合并</t>
  </si>
  <si>
    <t>可以和国家/站点合并，枚举值：US/UK/DE/SP/FR/IT</t>
  </si>
  <si>
    <t>源表 80 行；非空 80/80，空白 0/80，唯一值 5，38=3（3.8%）。主要值：美国跨境店(49)；英国直邮店(24)；38(3)；美国直邮店(2)；欧洲直邮店(2)。字段值为店铺类型/地区混合，按用户意见合并为站点枚举。</t>
  </si>
  <si>
    <t>G</t>
  </si>
  <si>
    <t>国家/站点</t>
  </si>
  <si>
    <t>与区域合并</t>
  </si>
  <si>
    <t>可以和区域合并我认为，枚举值：US/UK/DE/SP/FR/IT</t>
  </si>
  <si>
    <t>源表 80 行；非空 80/80，空白 0/80，唯一值 3，38=1（1.3%）。主要值：US(51)；GB(28)；38(1)。US/GB 导入时统一到 US/UK。</t>
  </si>
  <si>
    <t>H</t>
  </si>
  <si>
    <t>内容挂车店铺</t>
  </si>
  <si>
    <t>与账号归属店铺合并</t>
  </si>
  <si>
    <t>源表 80 行；非空 80/80，空白 0/80，唯一值 3，38=0（0.0%）。主要值：美国TK-艾斯特尼-美区跨境1店:US(51)；美国TK-艾斯特尼-英国直邮店:GB(28)；aa(1)。与账号归属店铺高度重叠。</t>
  </si>
  <si>
    <t>O</t>
  </si>
  <si>
    <t>账号归属店铺</t>
  </si>
  <si>
    <t>与内容挂车店铺合并</t>
  </si>
  <si>
    <t>跟内容挂车店铺合并，枚举值：美国TK-艾斯特尼-美区跨境1店:US</t>
  </si>
  <si>
    <t>源表 80 行；非空 80/80，空白 0/80，唯一值 2，38=0（0.0%）。主要值：美国TK-艾斯特尼-美区跨境1店:US(52)；美国TK-艾斯特尼-英国直邮店:GB(28)。</t>
  </si>
  <si>
    <t>Q</t>
  </si>
  <si>
    <t>后台绑定店铺名</t>
  </si>
  <si>
    <t>店铺维表派生</t>
  </si>
  <si>
    <t>美国 CNUSCBGWEL2N Faiable Fashion
美国 CNUSCBHTELR9 Faiable Comfywear
美国 CNUSCB32ELXP Faiable Days
英国 HKGBCBRLQLYP Faiable Finds
德国 HKDECBRLQLY7 Faiable Stylish
西班牙 HKESCBRLQLYM Faiable Stylish
法国 HKFRCBRLQLYE Faiable Stylish
意大利 HKITCBRLQLY8 Faiable Stylish
需要跟前面的站点做联动，注意我给的国家是中文，前面的筛选是英文缩写，统一用英文缩写来展示，且几个筛选框之间需要有关联关系</t>
  </si>
  <si>
    <t>源表 80 行；非空 80/80，空白 0/80，唯一值 2，38=0（0.0%）。主要值：Faiable Fashion(52)；Faiable Finds(28)。</t>
  </si>
  <si>
    <t>R</t>
  </si>
  <si>
    <t>店铺维表主键/联动</t>
  </si>
  <si>
    <t>同上</t>
  </si>
  <si>
    <t>源表 80 行；非空 80/80，空白 0/80，唯一值 2，38=0（0.0%）。主要值：CNUSCBGWEL2N(52)；HKGBCBRLQLYP(28)。</t>
  </si>
  <si>
    <t>P</t>
  </si>
  <si>
    <t>是否绑定后台店铺</t>
  </si>
  <si>
    <t>系统派生</t>
  </si>
  <si>
    <t>这是应用于渠道号剪辑使用的，如果是派生逻辑，可以从视频数据里面抓取绑定店铺的账号都识别为是，其他识别为否</t>
  </si>
  <si>
    <t>源表 80 行；非空 80/80，空白 0/80，唯一值 2，38=0（0.0%）。主要值：是(79)；否(1)。按用户意见可从视频/绑定数据识别。</t>
  </si>
  <si>
    <t>A</t>
  </si>
  <si>
    <t>账号/主页</t>
  </si>
  <si>
    <t>改名/导入时生成URL</t>
  </si>
  <si>
    <t>URL是可以解析出地址直接跳转到TK主页的，方便快速找到达人，</t>
  </si>
  <si>
    <t>源表 80 行；非空 80/80，空白 0/80，唯一值 80，38=0（0.0%）。主要值：0900.act(1)；aa(1)；arlo.stuff(1)；carolsharing(1)；dailydrewfits(1)；doaa_chris(1)。源表当前多为 handle；按用户意见前端需要可跳转 URL。</t>
  </si>
  <si>
    <t>B</t>
  </si>
  <si>
    <t>保留</t>
  </si>
  <si>
    <t>源表 80 行；非空 80/80，空白 0/80，唯一值 80，38=0（0.0%）。主要值：0900.act(1)；我发我发(1)；Annie(1)；Arlo(1)；bibiLabu(1)；Carol’s fits(1)。</t>
  </si>
  <si>
    <t>C</t>
  </si>
  <si>
    <t>保留并校验</t>
  </si>
  <si>
    <t>源表 80 行；非空 80/80，空白 0/80，唯一值 78，38=3（3.8%）。主要值：38(3)；1556(1)；7306744362074866731(1)；7452616129530758190(1)；7452630736208544814(1)；7452635600162522158(1)。38/1556 等异常转待确认。</t>
  </si>
  <si>
    <t>D</t>
  </si>
  <si>
    <t>改枚举并映射</t>
  </si>
  <si>
    <t>枚举值：自有达人/机构达人/官方账号/渠道账号/剪辑账号
并且需要补充添加定义：
自有达人：归属团队内开拓达成合作的达人
机构达人：通过TAP合作建联的达人
官方账号：绑定店铺并且标记为官号的账号
渠道账号：绑定店铺并且标记为渠道号的账号（如果这里识别已经绑定店铺，这里默认是）
剪辑账号：没有绑定店铺，但是由剪辑团队负责产出内容的账号</t>
  </si>
  <si>
    <t>源表 80 行；非空 80/80，空白 0/80，唯一值 1，38=0（0.0%）。主要值：渠道号(80)。原值“渠道号”映射为“渠道账号”；“是否是剪辑”并入账号类型。</t>
  </si>
  <si>
    <t>I</t>
  </si>
  <si>
    <t>内容来源标签</t>
  </si>
  <si>
    <t>删除；转视频维度</t>
  </si>
  <si>
    <t>删除</t>
  </si>
  <si>
    <t>安排删除，内容来源作为video的维度来考虑，不在账号维度，本意是针对剪辑团队有个账号内容的初步定位</t>
  </si>
  <si>
    <t>源表 80 行；非空 0/80，空白 80/80，唯一值 0，38=0（0.0%）。主要值：无。用户说明内容来源作为 video 维度，不在账号维度。</t>
  </si>
  <si>
    <t>J</t>
  </si>
  <si>
    <t>渠道号不适用/删除</t>
  </si>
  <si>
    <t>渠道号不存在达人来源</t>
  </si>
  <si>
    <t>源表 80 行；非空 80/80，空白 0/80，唯一值 1，38=80（100.0%）。主要值：38(80)。渠道号不存在达人来源。</t>
  </si>
  <si>
    <t>K</t>
  </si>
  <si>
    <t>渠道号不存在达人等级，安排删除</t>
  </si>
  <si>
    <t>源表 80 行；非空 80/80，空白 0/80，唯一值 1，38=80（100.0%）。主要值：38(80)。渠道号不存在达人等级。</t>
  </si>
  <si>
    <t>L</t>
  </si>
  <si>
    <t>是否开单</t>
  </si>
  <si>
    <t>改订单派生</t>
  </si>
  <si>
    <t>历史有过开单记录的达人进行自动标记</t>
  </si>
  <si>
    <t>源表 80 行；非空 80/80，空白 0/80，唯一值 1，38=0（0.0%）。主要值：否(80)。不手填；历史订单自动标记。</t>
  </si>
  <si>
    <t>M</t>
  </si>
  <si>
    <t>渠道号不适用；达人扩展保留</t>
  </si>
  <si>
    <t>纯佣
付费+纯佣
付费</t>
  </si>
  <si>
    <t>源表 80 行；非空 80/80，空白 0/80，唯一值 1，38=80（100.0%）。主要值：38(80)。渠道号源表为无效占位；用户给出达人合作模式枚举。</t>
  </si>
  <si>
    <t>N</t>
  </si>
  <si>
    <t>自定义标签</t>
  </si>
  <si>
    <t>可选保留/清洗</t>
  </si>
  <si>
    <t>源表 80 行；非空 1/80，空白 79/80，唯一值 1，38=0（0.0%）。主要值：地方(1)。仅承载账号维度标签，不放内容来源。</t>
  </si>
  <si>
    <t>S</t>
  </si>
  <si>
    <t>归属人员</t>
  </si>
  <si>
    <t>改名</t>
  </si>
  <si>
    <t>这里补充达人账号的表格，一起命名一个好的名字</t>
  </si>
  <si>
    <t>源表 80 行；非空 80/80，空白 0/80，唯一值 13，38=14（17.5%）。主要值：熊诚志(20)；38(14)；吴宏璟(9)；王梓涛(8)；张安妮(8)；双梦亭(6)。</t>
  </si>
  <si>
    <t>Z</t>
  </si>
  <si>
    <t>账号性别</t>
  </si>
  <si>
    <t>改名并统一枚举</t>
  </si>
  <si>
    <t>男，女，其他，待确认，这个补充达人的账号内容一起再评估，达人视角是要看男达人or女达人</t>
  </si>
  <si>
    <t>源表 80 行；非空 80/80，空白 0/80，唯一值 3，38=42（52.5%）。主要值：38(42)；女(20)；男(18)。</t>
  </si>
  <si>
    <t>Y</t>
  </si>
  <si>
    <t>派生字段，如果识别到近期有活跃，可以识别活跃（补充达人的账号继续补充和探讨）</t>
  </si>
  <si>
    <t>源表 80 行；非空 80/80，空白 0/80，唯一值 3，38=13（16.3%）。主要值：活跃(36)；暂停(31)；38(13)。</t>
  </si>
  <si>
    <t>AB</t>
  </si>
  <si>
    <t>是否是剪辑</t>
  </si>
  <si>
    <t>合并到账号类型</t>
  </si>
  <si>
    <t>我认为可以跟账号类型合并做枚举</t>
  </si>
  <si>
    <t>源表 80 行；非空 80/80，空白 0/80，唯一值 2，38=0（0.0%）。主要值：否(58)；是(22)。按用户意见可与账号类型合并。</t>
  </si>
  <si>
    <t>T</t>
  </si>
  <si>
    <t>邮箱账号</t>
  </si>
  <si>
    <t>条件字段</t>
  </si>
  <si>
    <t>当账号类型是：官方账号/渠道账号/剪辑账号。时，才有，否则无</t>
  </si>
  <si>
    <t>源表 80 行；非空 80/80，空白 0/80，唯一值 32，38=3（3.8%）。主要值：fa***@tkwiki.com(34)；店铺后台(12)；38(3)；ma***@tkwiki.com(3)；09***@tkwiki.com(1)；无(1)。仅官方/渠道/剪辑账号展示。</t>
  </si>
  <si>
    <t>U</t>
  </si>
  <si>
    <t>邮箱密码已配置</t>
  </si>
  <si>
    <t>源表 80 行；非空 80/80，空白 0/80，唯一值 2，38=0（0.0%）。主要值：否(57)；是(23)。</t>
  </si>
  <si>
    <t>V</t>
  </si>
  <si>
    <t>邮箱登录地址</t>
  </si>
  <si>
    <t>源表 80 行；非空 80/80，空白 0/80，唯一值 1，38=80（100.0%）。主要值：38(80)。无真实 URL；用户也标注按账号类型才有。</t>
  </si>
  <si>
    <t>W</t>
  </si>
  <si>
    <t>TK 密码已配置</t>
  </si>
  <si>
    <t>源表 80 行；非空 80/80，空白 0/80，唯一值 2，38=0（0.0%）。主要值：是(73)；否(7)。</t>
  </si>
  <si>
    <t>X</t>
  </si>
  <si>
    <t>网络线路</t>
  </si>
  <si>
    <t>源表 80 行；非空 80/80，空白 0/80，唯一值 13，38=26（32.5%）。主要值：38(26)；花云(20)；MSUS-03(4)；MSUS-04(4)；US-5(4)；US-8(4)。仅官方/渠道/剪辑账号展示。</t>
  </si>
  <si>
    <t>AA</t>
  </si>
  <si>
    <t>保留手工编辑口</t>
  </si>
  <si>
    <t>备注，手工留编辑口</t>
  </si>
  <si>
    <t>源表 80 行；非空 80/80，空白 0/80，唯一值 21，38=5（6.3%）。主要值：实拍(25)；被移除互通(7)；英区原创载体；流量OK(7)；AI转圈；AI(6)；38(5)；IP型AI；AI(5)。</t>
  </si>
  <si>
    <t>AC</t>
  </si>
  <si>
    <t>保留只读</t>
  </si>
  <si>
    <t>OK</t>
  </si>
  <si>
    <t>源表 80 行；非空 80/80，空白 0/80，唯一值 3，38=0（0.0%）。主要值：2026-07-23 11:19:09(76)；2026-07-23 16:46:31(3)；2026-07-22 13:35:21(1)。</t>
  </si>
  <si>
    <t>AD</t>
  </si>
  <si>
    <t>源表 80 行；非空 80/80，空白 0/80，唯一值 5，38=0（0.0%）。主要值：2026-07-23 16:46:31(54)；2026-07-29 10:15:28(22)；2026-07-29 10:01:39(2)；2026-07-22 17:43:27(1)；2026-07-28 16:21:01(1)。</t>
  </si>
  <si>
    <t>达人号原字段完整名称</t>
  </si>
  <si>
    <t>源表 19309 行；非空 19309/19309，空白 0/19309，唯一值 1，38=0（0.0%）。主要值：TikTok(19309)。</t>
  </si>
  <si>
    <t>源表 19309 行；非空 19309/19309，空白 0/19309，唯一值 1，38=0（0.0%）。主要值：美区(19309)。美区统一映射为 US。</t>
  </si>
  <si>
    <t>源表 19309 行；非空 19309/19309，空白 0/19309，唯一值 1，38=0（0.0%）。主要值：US(19309)。US 保留；GB 未来统一为 UK。</t>
  </si>
  <si>
    <t>源表 19309 行；非空 19309/19309，空白 0/19309，唯一值 8，38=0（0.0%）。主要值：美国TK-艾斯特尼-美区跨境1店:US(17086)；大魔王-跨境1店(1781)；有视频无授权码(179)；2店-斐信跨境(118)；3店-大魔王(100)；0(43)。店铺字段受站点联动。</t>
  </si>
  <si>
    <t>源表 19309 行；非空 19309/19309，空白 0/19309，唯一值 8，38=0（0.0%）。主要值：美国TK-艾斯特尼-美区跨境1店:US(17085)；大魔王-跨境1店(1782)；有视频无授权码(179)；2店-斐信跨境(118)；3店-大魔王(100)；0(43)。店铺字段受站点联动。</t>
  </si>
  <si>
    <t>源表 19309 行；非空 19309/19309，空白 0/19309，唯一值 1，38=0（0.0%）。主要值：Faiable Fashion(19309)。</t>
  </si>
  <si>
    <t>源表 19309 行；非空 19309/19309，空白 0/19309，唯一值 1，38=0（0.0%）。主要值：CNUSCBGWEL2N(19309)。</t>
  </si>
  <si>
    <t>源表 19309 行；非空 19309/19309，空白 0/19309，唯一值 1，38=0（0.0%）。主要值：是(19309)。由 Shop Code/绑定数据派生。</t>
  </si>
  <si>
    <t>源表 19309 行；非空 19309/19309，空白 0/19309，唯一值 19309，38=0（0.0%）。主要值：______dec(1)；____bhattarai16(1)；___kathym(1)；___munecaaa(1)；__.abcde_(1)；__.christiana._(1)。达人主页也需要可跳转。</t>
  </si>
  <si>
    <t>源表 19309 行；非空 19309/19309，空白 0/19309，唯一值 19309，38=0（0.0%）。主要值：⃟(1)；__alwaysleesa(1)；__brittanylee___(1)；__brooke22(1)；__dinoshka__(1)；__k920(1)。</t>
  </si>
  <si>
    <t>保留并清洗</t>
  </si>
  <si>
    <t>源表 19309 行；非空 19309/19309，空白 0/19309，唯一值 1652，38=0（0.0%）。主要值：32(17643)；6814099128940512261(3)；7401966374786384938(3)；3144794(2)；6711314101077066758(2)；6780320831916966917(2)。32 有 17643/19309，需转为空/待补。</t>
  </si>
  <si>
    <t>源表 19309 行；非空 19309/19309，空白 0/19309，唯一值 1，38=0（0.0%）。主要值：达人号(19309)。原值“达人号”后续需拆为自有达人/机构达人。</t>
  </si>
  <si>
    <t>源表 19309 行；非空 0/19309，空白 19309/19309，唯一值 0，38=0（0.0%）。主要值：无。内容来源不放账号维度。</t>
  </si>
  <si>
    <t>达人扩展保留</t>
  </si>
  <si>
    <t>源表 19309 行；非空 19309/19309，空白 0/19309，唯一值 1，38=0（0.0%）。主要值：联盟广场(19309)。达人号有效字段。</t>
  </si>
  <si>
    <t>达人扩展保留并清洗</t>
  </si>
  <si>
    <t>源表 19309 行；非空 19309/19309，空白 0/19309，唯一值 8，38=0（0.0%）。主要值：32(9902)；L3(3142)；L4(2024)；L2(1502)；L5(1046)；L1(804)。32 转待评级。</t>
  </si>
  <si>
    <t>订单派生</t>
  </si>
  <si>
    <t>源表 19309 行；非空 19309/19309，空白 0/19309，唯一值 2，38=0（0.0%）。主要值：否(15001)；是(4308)。历史有开单记录自动标记。</t>
  </si>
  <si>
    <t>源表 19309 行；非空 19309/19309，空白 0/19309，唯一值 1，38=0（0.0%）。主要值：32(19309)。当前全为 32，按纯佣/付费+纯佣/付费补录。</t>
  </si>
  <si>
    <t>源表 19309 行；非空 0/19309，空白 19309/19309，唯一值 0，38=0（0.0%）。主要值：无。空字段，不强制展示。</t>
  </si>
  <si>
    <t>源表 19309 行；非空 19309/19309，空白 0/19309，唯一值 34，38=0（0.0%）。主要值：陈圻(2787)；张筱敏(2382)；李昕岚(2151)；朱佳文(2123)；杨滨羽(1983)；魏芷颖(1826)。</t>
  </si>
  <si>
    <t>源表 19309 行；非空 19309/19309，空白 0/19309，唯一值 3，38=0（0.0%）。主要值：32(14202)；女(4447)；男(660)。达人视角表示男达人/女达人/其他/待确认。</t>
  </si>
  <si>
    <t>源表 19309 行；非空 19309/19309，空白 0/19309，唯一值 3，38=0（0.0%）。主要值：32(19307)；停用(1)；暂停(1)。32 有 19307/19309，需转待确认。</t>
  </si>
  <si>
    <t>源表 19309 行；非空 19309/19309，空白 0/19309，唯一值 1，38=0（0.0%）。主要值：否(19309)。达人号该字段全为否，不单独保留。</t>
  </si>
  <si>
    <t>源表 19309 行；非空 19309/19309，空白 0/19309，唯一值 3，38=0（0.0%）。主要值：32(19307)；图文权限√(1)；作废2026/03(1)。32 有 19307/19309，需转空。</t>
  </si>
  <si>
    <t>源表 19309 行；非空 19309/19309，空白 0/19309，唯一值 2，38=0（0.0%）。主要值：2026-07-27 15:23:17(19307)；2026-07-23 16:46:31(2)。</t>
  </si>
  <si>
    <t>源表 19309 行；非空 19309/19309，空白 0/19309，唯一值 26，38=0（0.0%）。主要值：2026-07-29 10:01:39(9365)；2026-07-28 16:21:01(8269)；2026-07-28 17:27:29(147)；2026-07-28 17:27:18(125)；2026-07-28 17:27:23(124)；2026-07-28 17:27:26(121)。</t>
  </si>
  <si>
    <t>国家中文</t>
  </si>
  <si>
    <t>前端联动规则</t>
  </si>
  <si>
    <t>US</t>
  </si>
  <si>
    <t>美国</t>
  </si>
  <si>
    <t>CNUSCBGWEL2N</t>
  </si>
  <si>
    <t>Faiable Fashion</t>
  </si>
  <si>
    <t>选择站点 US 后展示；选择店铺后带出 Shop Code 和后台店铺名。</t>
  </si>
  <si>
    <t>当前渠道/达人源表主要使用该店铺。</t>
  </si>
  <si>
    <t>CNUSCBHTELR9</t>
  </si>
  <si>
    <t>Faiable Comfywear</t>
  </si>
  <si>
    <t>用户 H 列提供。</t>
  </si>
  <si>
    <t>CNUSCB32ELXP</t>
  </si>
  <si>
    <t>Faiable Days</t>
  </si>
  <si>
    <t>UK</t>
  </si>
  <si>
    <t>英国</t>
  </si>
  <si>
    <t>HKGBCBRLQLYP</t>
  </si>
  <si>
    <t>Faiable Finds</t>
  </si>
  <si>
    <t>选择站点 UK 后展示；导入 GB 时统一映射 UK。</t>
  </si>
  <si>
    <t>用户要求前端统一用 UK。</t>
  </si>
  <si>
    <t>DE</t>
  </si>
  <si>
    <t>德国</t>
  </si>
  <si>
    <t>HKDECBRLQLY7</t>
  </si>
  <si>
    <t>Faiable Stylish</t>
  </si>
  <si>
    <t>选择站点 DE 后展示。</t>
  </si>
  <si>
    <t>SP</t>
  </si>
  <si>
    <t>西班牙</t>
  </si>
  <si>
    <t>HKESCBRLQLYM</t>
  </si>
  <si>
    <t>选择站点 SP 后展示。</t>
  </si>
  <si>
    <t>用户 H 列提供；按用户枚举用 SP。</t>
  </si>
  <si>
    <t>FR</t>
  </si>
  <si>
    <t>法国</t>
  </si>
  <si>
    <t>HKFRCBRLQLYE</t>
  </si>
  <si>
    <t>选择站点 FR 后展示。</t>
  </si>
  <si>
    <t>IT</t>
  </si>
  <si>
    <t>意大利</t>
  </si>
  <si>
    <t>HKITCBRLQLY8</t>
  </si>
  <si>
    <t>选择站点 IT 后展示。</t>
  </si>
  <si>
    <t>规则</t>
  </si>
  <si>
    <t>处理方式</t>
  </si>
  <si>
    <t>证据/来源</t>
  </si>
  <si>
    <t>渠道号占位值</t>
  </si>
  <si>
    <t>38 统一视为空/待确认，禁止作为枚举入库。</t>
  </si>
  <si>
    <t>TikTok UID:3；区域:3；国家/站点:1；达人来源:80；达人等级:80；合作模式:80；归属人员:14；邮箱账号:3；邮箱登录地址:80；网络线路:26；账号状态:13；账号性别:42；备注:5</t>
  </si>
  <si>
    <t>达人号占位值</t>
  </si>
  <si>
    <t>32 统一视为空/待确认，禁止作为枚举入库；店铺字段中的 0 也视为无效。</t>
  </si>
  <si>
    <t>TikTok UID:38=0/32=17643/0=0；内容挂车店铺:38=0/32=0/0=43；账号性别:38=0/32=14202/0=0；达人等级:38=0/32=9902/0=0；合作模式:38=0/32=19309/0=0；账号归属店铺:38=0/32=0/0=43；账号状态:38=0/32=19307/0=0；备注:38=0/32=19307/0=0</t>
  </si>
  <si>
    <t>站点标准化</t>
  </si>
  <si>
    <t>区域/国家/站点合并为“站点”；美区/美国/US -&gt; US，英国/GB -&gt; UK，德国 -&gt; DE，西班牙 -&gt; SP，法国 -&gt; FR，意大利 -&gt; IT。</t>
  </si>
  <si>
    <t>用户 H 列要求 US/UK/DE/SP/FR/IT。</t>
  </si>
  <si>
    <t>店铺联动</t>
  </si>
  <si>
    <t>前端先选站点，再筛选绑定/挂车店铺；选择店铺后自动带出 Shop Code、后台店铺名、店铺绑定状态。</t>
  </si>
  <si>
    <t>用户 H 列要求几个筛选框之间有关联关系。</t>
  </si>
  <si>
    <t>账号类型联动</t>
  </si>
  <si>
    <t>登录邮箱、邮箱密码、TikTok密码、网络线路仅在官方账号/渠道账号/剪辑账号展示；达人账号默认不展示。</t>
  </si>
  <si>
    <t>用户 H 列明确账号类型条件。</t>
  </si>
  <si>
    <t>内容来源字段</t>
  </si>
  <si>
    <t>内容来源标签删除，转到 video 维度；账号维度只保留账号标签/备注。</t>
  </si>
  <si>
    <t>用户 H 列说明内容来源作为 video 维度。</t>
  </si>
  <si>
    <t>不手工维护，由订单历史自动标记。</t>
  </si>
  <si>
    <t>用户 H 列说明历史有过开单记录的达人自动标记。</t>
  </si>
  <si>
    <t>TAP机构号</t>
  </si>
  <si>
    <t>本版未收到 TAP 源表，字段只预留，需补源表后确认。</t>
  </si>
  <si>
    <t>桌面扫描未发现 TAP/机构号 xlsx。</t>
  </si>
  <si>
    <t>TAP预留字段</t>
  </si>
  <si>
    <t>建议字段名</t>
  </si>
  <si>
    <t>说明</t>
  </si>
  <si>
    <t>状态</t>
  </si>
  <si>
    <t>机构基础</t>
  </si>
  <si>
    <t>TAP机构名称</t>
  </si>
  <si>
    <t>TAP机构号模块应有机构主体名称。</t>
  </si>
  <si>
    <t>待源表确认</t>
  </si>
  <si>
    <t>TAP机构ID/Code</t>
  </si>
  <si>
    <t>用于唯一识别机构。</t>
  </si>
  <si>
    <t>机构关系</t>
  </si>
  <si>
    <t>使用统一站点枚举 US/UK/DE/SP/FR/IT。</t>
  </si>
  <si>
    <t>关联Shop Code</t>
  </si>
  <si>
    <t>如机构绑定店铺，则沿用店铺维表。</t>
  </si>
  <si>
    <t>机构负责人</t>
  </si>
  <si>
    <t>内部维护负责人，命名与账号负责人保持一致。</t>
  </si>
  <si>
    <t>机构运营</t>
  </si>
  <si>
    <t>机构状态</t>
  </si>
  <si>
    <t>启用、暂停、停用、待确认。</t>
  </si>
  <si>
    <t>创建时间/更新时间</t>
  </si>
  <si>
    <t>沿用统一系统字段。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</si>
</sst>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0"/>
      <color rgb="FFFFFFFF"/>
      <name val="Microsoft YaHei"/>
      <charset val="134"/>
    </font>
    <font>
      <sz val="10"/>
      <color rgb="FF1F2933"/>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4" borderId="13" applyNumberFormat="0" applyAlignment="0" applyProtection="0">
      <alignment vertical="center"/>
    </xf>
    <xf numFmtId="0" fontId="13" fillId="5" borderId="14" applyNumberFormat="0" applyAlignment="0" applyProtection="0">
      <alignment vertical="center"/>
    </xf>
    <xf numFmtId="0" fontId="14" fillId="5" borderId="13" applyNumberFormat="0" applyAlignment="0" applyProtection="0">
      <alignment vertical="center"/>
    </xf>
    <xf numFmtId="0" fontId="15" fillId="6"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11">
    <xf numFmtId="0" fontId="0" fillId="0" borderId="0" xfId="49"/>
    <xf numFmtId="0" fontId="1" fillId="2" borderId="1" xfId="49" applyNumberFormat="1" applyFont="1" applyFill="1" applyBorder="1" applyAlignment="1">
      <alignment horizontal="center" vertical="center" wrapText="1"/>
    </xf>
    <xf numFmtId="0" fontId="1" fillId="2" borderId="2" xfId="49" applyNumberFormat="1" applyFont="1" applyFill="1" applyBorder="1" applyAlignment="1">
      <alignment horizontal="center" vertical="center" wrapText="1"/>
    </xf>
    <xf numFmtId="0" fontId="1" fillId="2" borderId="3" xfId="49" applyNumberFormat="1" applyFont="1" applyFill="1" applyBorder="1" applyAlignment="1">
      <alignment horizontal="center" vertical="center" wrapText="1"/>
    </xf>
    <xf numFmtId="0" fontId="2" fillId="0" borderId="4" xfId="49" applyNumberFormat="1" applyFont="1" applyFill="1" applyBorder="1" applyAlignment="1">
      <alignment vertical="top" wrapText="1"/>
    </xf>
    <xf numFmtId="0" fontId="2" fillId="0" borderId="5" xfId="49" applyNumberFormat="1" applyFont="1" applyFill="1" applyBorder="1" applyAlignment="1">
      <alignment vertical="top" wrapText="1"/>
    </xf>
    <xf numFmtId="0" fontId="2" fillId="0" borderId="6" xfId="49" applyNumberFormat="1" applyFont="1" applyFill="1" applyBorder="1" applyAlignment="1">
      <alignment vertical="top" wrapText="1"/>
    </xf>
    <xf numFmtId="0" fontId="2" fillId="0" borderId="7" xfId="49" applyNumberFormat="1" applyFont="1" applyFill="1" applyBorder="1" applyAlignment="1">
      <alignment vertical="top" wrapText="1"/>
    </xf>
    <xf numFmtId="0" fontId="2" fillId="0" borderId="8" xfId="49" applyNumberFormat="1" applyFont="1" applyFill="1" applyBorder="1" applyAlignment="1">
      <alignment vertical="top" wrapText="1"/>
    </xf>
    <xf numFmtId="0" fontId="2" fillId="0" borderId="9" xfId="49" applyNumberFormat="1" applyFont="1" applyFill="1" applyBorder="1" applyAlignment="1">
      <alignment vertical="top" wrapText="1"/>
    </xf>
    <xf numFmtId="0" fontId="3" fillId="0" borderId="0" xfId="0"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www.wps.cn/officeDocument/2020/cellImage" Target="cellimages.xml"/><Relationship Id="rId1" Type="http://schemas.openxmlformats.org/officeDocument/2006/relationships/worksheet" Target="worksheets/sheet1.xml"/></Relationships>
</file>

<file path=xl/tables/table1.xml><?xml version="1.0" encoding="utf-8"?>
<table xmlns="http://schemas.openxmlformats.org/spreadsheetml/2006/main" id="1" name="SummaryTable" displayName="SummaryTable" ref="A1:B9" totalsRowShown="0">
  <tableColumns count="2">
    <tableColumn id="1" name="项目"/>
    <tableColumn id="2" name="结论 / 给 IT 的执行口径"/>
  </tableColumns>
  <tableStyleInfo name="TableStyleMedium2" showFirstColumn="0" showLastColumn="0" showRowStripes="1" showColumnStripes="0"/>
</table>
</file>

<file path=xl/tables/table2.xml><?xml version="1.0" encoding="utf-8"?>
<table xmlns="http://schemas.openxmlformats.org/spreadsheetml/2006/main" id="2" name="UnifiedDictionaryTable" displayName="UnifiedDictionaryTable" ref="A1:J26" totalsRowShown="0">
  <tableColumns count="10">
    <tableColumn id="1" name="统一顺序"/>
    <tableColumn id="2" name="字段分组"/>
    <tableColumn id="3" name="统一字段名"/>
    <tableColumn id="4" name="字段层级"/>
    <tableColumn id="5" name="适用模块"/>
    <tableColumn id="6" name="格式/枚举"/>
    <tableColumn id="7" name="是否前端展示"/>
    <tableColumn id="8" name="是否人工维护"/>
    <tableColumn id="9" name="统一说明"/>
    <tableColumn id="10" name="依据和理由"/>
  </tableColumns>
  <tableStyleInfo name="TableStyleMedium2" showFirstColumn="0" showLastColumn="0" showRowStripes="1" showColumnStripes="0"/>
</table>
</file>

<file path=xl/tables/table3.xml><?xml version="1.0" encoding="utf-8"?>
<table xmlns="http://schemas.openxmlformats.org/spreadsheetml/2006/main" id="3" name="ChannelMappingTable" displayName="ChannelMappingTable" ref="A1:G31" totalsRowShown="0">
  <tableColumns count="7">
    <tableColumn id="1" name="原序号"/>
    <tableColumn id="2" name="原列"/>
    <tableColumn id="3" name="渠道号原字段完整名称"/>
    <tableColumn id="4" name="统一字段建议"/>
    <tableColumn id="5" name="建议动作"/>
    <tableColumn id="6" name="用户H列补充"/>
    <tableColumn id="7" name="依据和理由"/>
  </tableColumns>
  <tableStyleInfo name="TableStyleMedium2" showFirstColumn="0" showLastColumn="0" showRowStripes="1" showColumnStripes="0"/>
</table>
</file>

<file path=xl/tables/table4.xml><?xml version="1.0" encoding="utf-8"?>
<table xmlns="http://schemas.openxmlformats.org/spreadsheetml/2006/main" id="4" name="CreatorMappingTable" displayName="CreatorMappingTable" ref="A1:F26" totalsRowShown="0">
  <tableColumns count="6">
    <tableColumn id="1" name="原序号"/>
    <tableColumn id="2" name="原列"/>
    <tableColumn id="3" name="达人号原字段完整名称"/>
    <tableColumn id="4" name="统一字段建议"/>
    <tableColumn id="5" name="建议动作"/>
    <tableColumn id="6" name="依据和理由"/>
  </tableColumns>
  <tableStyleInfo name="TableStyleMedium2" showFirstColumn="0" showLastColumn="0" showRowStripes="1" showColumnStripes="0"/>
</table>
</file>

<file path=xl/tables/table5.xml><?xml version="1.0" encoding="utf-8"?>
<table xmlns="http://schemas.openxmlformats.org/spreadsheetml/2006/main" id="5" name="ShopLinkageTable" displayName="ShopLinkageTable" ref="A1:F9" totalsRowShown="0">
  <tableColumns count="6">
    <tableColumn id="1" name="站点"/>
    <tableColumn id="2" name="国家中文"/>
    <tableColumn id="3" name="Shop Code"/>
    <tableColumn id="4" name="后台店铺名"/>
    <tableColumn id="5" name="前端联动规则"/>
    <tableColumn id="6" name="备注"/>
  </tableColumns>
  <tableStyleInfo name="TableStyleMedium2" showFirstColumn="0" showLastColumn="0" showRowStripes="1" showColumnStripes="0"/>
</table>
</file>

<file path=xl/tables/table6.xml><?xml version="1.0" encoding="utf-8"?>
<table xmlns="http://schemas.openxmlformats.org/spreadsheetml/2006/main" id="6" name="CleanRulesTable" displayName="CleanRulesTable" ref="A1:C9" totalsRowShown="0">
  <tableColumns count="3">
    <tableColumn id="1" name="规则"/>
    <tableColumn id="2" name="处理方式"/>
    <tableColumn id="3" name="证据/来源"/>
  </tableColumns>
  <tableStyleInfo name="TableStyleMedium2" showFirstColumn="0" showLastColumn="0" showRowStripes="1" showColumnStripes="0"/>
</table>
</file>

<file path=xl/tables/table7.xml><?xml version="1.0" encoding="utf-8"?>
<table xmlns="http://schemas.openxmlformats.org/spreadsheetml/2006/main" id="7" name="TapReservedTable" displayName="TapReservedTable" ref="A1:D8" totalsRowShown="0">
  <tableColumns count="4">
    <tableColumn id="1" name="TAP预留字段"/>
    <tableColumn id="2" name="建议字段名"/>
    <tableColumn id="3" name="说明"/>
    <tableColumn id="4" name="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showGridLines="0" tabSelected="1" workbookViewId="0">
      <selection activeCell="A1" sqref="A1"/>
    </sheetView>
  </sheetViews>
  <sheetFormatPr defaultColWidth="9" defaultRowHeight="14.25" outlineLevelCol="1"/>
  <cols>
    <col min="1" max="1" width="18" customWidth="1"/>
    <col min="2" max="2" width="112" customWidth="1"/>
  </cols>
  <sheetData>
    <row r="1" ht="32" customHeight="1" spans="1:2">
      <c r="A1" s="1" t="s">
        <v>0</v>
      </c>
      <c r="B1" s="3" t="s">
        <v>1</v>
      </c>
    </row>
    <row r="2" ht="16.5" spans="1:2">
      <c r="A2" s="4" t="s">
        <v>2</v>
      </c>
      <c r="B2" s="6" t="s">
        <v>3</v>
      </c>
    </row>
    <row r="3" ht="33" spans="1:2">
      <c r="A3" s="4" t="s">
        <v>4</v>
      </c>
      <c r="B3" s="6" t="s">
        <v>5</v>
      </c>
    </row>
    <row r="4" ht="33" spans="1:2">
      <c r="A4" s="4" t="s">
        <v>6</v>
      </c>
      <c r="B4" s="6" t="s">
        <v>7</v>
      </c>
    </row>
    <row r="5" ht="33" spans="1:2">
      <c r="A5" s="4" t="s">
        <v>8</v>
      </c>
      <c r="B5" s="6" t="s">
        <v>9</v>
      </c>
    </row>
    <row r="6" ht="33" spans="1:2">
      <c r="A6" s="4" t="s">
        <v>10</v>
      </c>
      <c r="B6" s="6" t="s">
        <v>11</v>
      </c>
    </row>
    <row r="7" ht="33" spans="1:2">
      <c r="A7" s="4" t="s">
        <v>12</v>
      </c>
      <c r="B7" s="6" t="s">
        <v>13</v>
      </c>
    </row>
    <row r="8" ht="16.5" spans="1:2">
      <c r="A8" s="4" t="s">
        <v>14</v>
      </c>
      <c r="B8" s="6" t="s">
        <v>15</v>
      </c>
    </row>
    <row r="9" ht="16.5" spans="1:2">
      <c r="A9" s="7" t="s">
        <v>16</v>
      </c>
      <c r="B9" s="9" t="s">
        <v>17</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showGridLines="0" workbookViewId="0">
      <selection activeCell="C5" sqref="C5"/>
    </sheetView>
  </sheetViews>
  <sheetFormatPr defaultColWidth="9" defaultRowHeight="14.25"/>
  <cols>
    <col min="1" max="1" width="10" customWidth="1"/>
    <col min="2" max="2" width="16" customWidth="1"/>
    <col min="3" max="3" width="26" customWidth="1"/>
    <col min="4" max="4" width="18" customWidth="1"/>
    <col min="5" max="5" width="32" customWidth="1"/>
    <col min="6" max="6" width="36" customWidth="1"/>
    <col min="7" max="7" width="14" customWidth="1"/>
    <col min="8" max="8" width="16" customWidth="1"/>
    <col min="9" max="9" width="58" customWidth="1"/>
    <col min="10" max="10" width="70" customWidth="1"/>
  </cols>
  <sheetData>
    <row r="1" ht="32" customHeight="1" spans="1:10">
      <c r="A1" s="1" t="s">
        <v>18</v>
      </c>
      <c r="B1" s="2" t="s">
        <v>19</v>
      </c>
      <c r="C1" s="2" t="s">
        <v>20</v>
      </c>
      <c r="D1" s="2" t="s">
        <v>21</v>
      </c>
      <c r="E1" s="2" t="s">
        <v>22</v>
      </c>
      <c r="F1" s="2" t="s">
        <v>23</v>
      </c>
      <c r="G1" s="2" t="s">
        <v>24</v>
      </c>
      <c r="H1" s="2" t="s">
        <v>25</v>
      </c>
      <c r="I1" s="2" t="s">
        <v>26</v>
      </c>
      <c r="J1" s="3" t="s">
        <v>27</v>
      </c>
    </row>
    <row r="2" ht="16.5" spans="1:10">
      <c r="A2" s="4">
        <v>1</v>
      </c>
      <c r="B2" s="5" t="s">
        <v>28</v>
      </c>
      <c r="C2" s="5" t="s">
        <v>29</v>
      </c>
      <c r="D2" s="5" t="s">
        <v>30</v>
      </c>
      <c r="E2" s="5" t="s">
        <v>31</v>
      </c>
      <c r="F2" s="5" t="s">
        <v>32</v>
      </c>
      <c r="G2" s="5" t="s">
        <v>33</v>
      </c>
      <c r="H2" s="5" t="s">
        <v>34</v>
      </c>
      <c r="I2" s="5" t="s">
        <v>35</v>
      </c>
      <c r="J2" s="6" t="s">
        <v>36</v>
      </c>
    </row>
    <row r="3" ht="16.5" spans="1:10">
      <c r="A3" s="4">
        <v>2</v>
      </c>
      <c r="B3" s="5" t="s">
        <v>37</v>
      </c>
      <c r="C3" s="5" t="s">
        <v>38</v>
      </c>
      <c r="D3" s="5" t="s">
        <v>39</v>
      </c>
      <c r="E3" s="5" t="s">
        <v>40</v>
      </c>
      <c r="F3" s="5" t="s">
        <v>41</v>
      </c>
      <c r="G3" s="5" t="s">
        <v>42</v>
      </c>
      <c r="H3" s="5" t="s">
        <v>43</v>
      </c>
      <c r="I3" s="5" t="s">
        <v>44</v>
      </c>
      <c r="J3" s="6" t="s">
        <v>45</v>
      </c>
    </row>
    <row r="4" ht="33" spans="1:10">
      <c r="A4" s="4">
        <v>3</v>
      </c>
      <c r="B4" s="5" t="s">
        <v>37</v>
      </c>
      <c r="C4" s="5" t="s">
        <v>46</v>
      </c>
      <c r="D4" s="5" t="s">
        <v>47</v>
      </c>
      <c r="E4" s="5" t="s">
        <v>48</v>
      </c>
      <c r="F4" s="5" t="s">
        <v>49</v>
      </c>
      <c r="G4" s="5" t="s">
        <v>42</v>
      </c>
      <c r="H4" s="5" t="s">
        <v>43</v>
      </c>
      <c r="I4" s="5" t="s">
        <v>50</v>
      </c>
      <c r="J4" s="6" t="s">
        <v>51</v>
      </c>
    </row>
    <row r="5" ht="16.5" spans="1:10">
      <c r="A5" s="4">
        <v>4</v>
      </c>
      <c r="B5" s="5" t="s">
        <v>37</v>
      </c>
      <c r="C5" s="5" t="s">
        <v>52</v>
      </c>
      <c r="D5" s="5" t="s">
        <v>53</v>
      </c>
      <c r="E5" s="5" t="s">
        <v>54</v>
      </c>
      <c r="F5" s="5" t="s">
        <v>55</v>
      </c>
      <c r="G5" s="5" t="s">
        <v>42</v>
      </c>
      <c r="H5" s="5" t="s">
        <v>56</v>
      </c>
      <c r="I5" s="5" t="s">
        <v>57</v>
      </c>
      <c r="J5" s="6" t="s">
        <v>58</v>
      </c>
    </row>
    <row r="6" ht="16.5" spans="1:10">
      <c r="A6" s="4">
        <v>5</v>
      </c>
      <c r="B6" s="5" t="s">
        <v>37</v>
      </c>
      <c r="C6" s="5" t="s">
        <v>59</v>
      </c>
      <c r="D6" s="5" t="s">
        <v>53</v>
      </c>
      <c r="E6" s="5" t="s">
        <v>54</v>
      </c>
      <c r="F6" s="5" t="s">
        <v>60</v>
      </c>
      <c r="G6" s="5" t="s">
        <v>42</v>
      </c>
      <c r="H6" s="5" t="s">
        <v>61</v>
      </c>
      <c r="I6" s="5" t="s">
        <v>62</v>
      </c>
      <c r="J6" s="6" t="s">
        <v>63</v>
      </c>
    </row>
    <row r="7" ht="16.5" spans="1:10">
      <c r="A7" s="4">
        <v>6</v>
      </c>
      <c r="B7" s="5" t="s">
        <v>37</v>
      </c>
      <c r="C7" s="5" t="s">
        <v>64</v>
      </c>
      <c r="D7" s="5" t="s">
        <v>65</v>
      </c>
      <c r="E7" s="5" t="s">
        <v>66</v>
      </c>
      <c r="F7" s="5" t="s">
        <v>67</v>
      </c>
      <c r="G7" s="5" t="s">
        <v>42</v>
      </c>
      <c r="H7" s="5" t="s">
        <v>61</v>
      </c>
      <c r="I7" s="5" t="s">
        <v>68</v>
      </c>
      <c r="J7" s="6" t="s">
        <v>69</v>
      </c>
    </row>
    <row r="8" ht="16.5" spans="1:10">
      <c r="A8" s="4">
        <v>7</v>
      </c>
      <c r="B8" s="5" t="s">
        <v>28</v>
      </c>
      <c r="C8" s="5" t="s">
        <v>70</v>
      </c>
      <c r="D8" s="5" t="s">
        <v>30</v>
      </c>
      <c r="E8" s="5" t="s">
        <v>31</v>
      </c>
      <c r="F8" s="5" t="s">
        <v>71</v>
      </c>
      <c r="G8" s="5" t="s">
        <v>42</v>
      </c>
      <c r="H8" s="5" t="s">
        <v>72</v>
      </c>
      <c r="I8" s="5" t="s">
        <v>73</v>
      </c>
      <c r="J8" s="6" t="s">
        <v>74</v>
      </c>
    </row>
    <row r="9" ht="16.5" spans="1:10">
      <c r="A9" s="4">
        <v>8</v>
      </c>
      <c r="B9" s="5" t="s">
        <v>28</v>
      </c>
      <c r="C9" s="5" t="s">
        <v>75</v>
      </c>
      <c r="D9" s="5" t="s">
        <v>30</v>
      </c>
      <c r="E9" s="5" t="s">
        <v>31</v>
      </c>
      <c r="F9" s="5" t="s">
        <v>60</v>
      </c>
      <c r="G9" s="5" t="s">
        <v>42</v>
      </c>
      <c r="H9" s="5" t="s">
        <v>42</v>
      </c>
      <c r="I9" s="5" t="s">
        <v>76</v>
      </c>
      <c r="J9" s="6" t="s">
        <v>77</v>
      </c>
    </row>
    <row r="10" ht="16.5" spans="1:10">
      <c r="A10" s="4">
        <v>9</v>
      </c>
      <c r="B10" s="5" t="s">
        <v>28</v>
      </c>
      <c r="C10" s="5" t="s">
        <v>78</v>
      </c>
      <c r="D10" s="5" t="s">
        <v>30</v>
      </c>
      <c r="E10" s="5" t="s">
        <v>31</v>
      </c>
      <c r="F10" s="5" t="s">
        <v>79</v>
      </c>
      <c r="G10" s="5" t="s">
        <v>42</v>
      </c>
      <c r="H10" s="5" t="s">
        <v>80</v>
      </c>
      <c r="I10" s="5" t="s">
        <v>81</v>
      </c>
      <c r="J10" s="6" t="s">
        <v>82</v>
      </c>
    </row>
    <row r="11" ht="33" spans="1:10">
      <c r="A11" s="4">
        <v>10</v>
      </c>
      <c r="B11" s="5" t="s">
        <v>28</v>
      </c>
      <c r="C11" s="5" t="s">
        <v>12</v>
      </c>
      <c r="D11" s="5" t="s">
        <v>30</v>
      </c>
      <c r="E11" s="5" t="s">
        <v>40</v>
      </c>
      <c r="F11" s="5" t="s">
        <v>83</v>
      </c>
      <c r="G11" s="5" t="s">
        <v>42</v>
      </c>
      <c r="H11" s="5" t="s">
        <v>84</v>
      </c>
      <c r="I11" s="5" t="s">
        <v>85</v>
      </c>
      <c r="J11" s="6" t="s">
        <v>86</v>
      </c>
    </row>
    <row r="12" ht="16.5" spans="1:10">
      <c r="A12" s="4">
        <v>11</v>
      </c>
      <c r="B12" s="5" t="s">
        <v>87</v>
      </c>
      <c r="C12" s="5" t="s">
        <v>88</v>
      </c>
      <c r="D12" s="5" t="s">
        <v>30</v>
      </c>
      <c r="E12" s="5" t="s">
        <v>89</v>
      </c>
      <c r="F12" s="5" t="s">
        <v>90</v>
      </c>
      <c r="G12" s="5" t="s">
        <v>42</v>
      </c>
      <c r="H12" s="5" t="s">
        <v>42</v>
      </c>
      <c r="I12" s="5" t="s">
        <v>91</v>
      </c>
      <c r="J12" s="6" t="s">
        <v>92</v>
      </c>
    </row>
    <row r="13" ht="16.5" spans="1:10">
      <c r="A13" s="4">
        <v>12</v>
      </c>
      <c r="B13" s="5" t="s">
        <v>93</v>
      </c>
      <c r="C13" s="5" t="s">
        <v>93</v>
      </c>
      <c r="D13" s="5" t="s">
        <v>94</v>
      </c>
      <c r="E13" s="5" t="s">
        <v>95</v>
      </c>
      <c r="F13" s="5" t="s">
        <v>96</v>
      </c>
      <c r="G13" s="5" t="s">
        <v>42</v>
      </c>
      <c r="H13" s="5" t="s">
        <v>97</v>
      </c>
      <c r="I13" s="5" t="s">
        <v>98</v>
      </c>
      <c r="J13" s="6" t="s">
        <v>99</v>
      </c>
    </row>
    <row r="14" ht="16.5" spans="1:10">
      <c r="A14" s="4">
        <v>13</v>
      </c>
      <c r="B14" s="5" t="s">
        <v>100</v>
      </c>
      <c r="C14" s="5" t="s">
        <v>101</v>
      </c>
      <c r="D14" s="5" t="s">
        <v>30</v>
      </c>
      <c r="E14" s="5" t="s">
        <v>102</v>
      </c>
      <c r="F14" s="5" t="s">
        <v>103</v>
      </c>
      <c r="G14" s="5" t="s">
        <v>42</v>
      </c>
      <c r="H14" s="5" t="s">
        <v>104</v>
      </c>
      <c r="I14" s="5" t="s">
        <v>105</v>
      </c>
      <c r="J14" s="6" t="s">
        <v>106</v>
      </c>
    </row>
    <row r="15" ht="16.5" spans="1:10">
      <c r="A15" s="4">
        <v>14</v>
      </c>
      <c r="B15" s="5" t="s">
        <v>107</v>
      </c>
      <c r="C15" s="5" t="s">
        <v>108</v>
      </c>
      <c r="D15" s="5" t="s">
        <v>109</v>
      </c>
      <c r="E15" s="5" t="s">
        <v>110</v>
      </c>
      <c r="F15" s="5" t="s">
        <v>111</v>
      </c>
      <c r="G15" s="5" t="s">
        <v>112</v>
      </c>
      <c r="H15" s="5" t="s">
        <v>113</v>
      </c>
      <c r="I15" s="5" t="s">
        <v>114</v>
      </c>
      <c r="J15" s="6" t="s">
        <v>115</v>
      </c>
    </row>
    <row r="16" ht="16.5" spans="1:10">
      <c r="A16" s="4">
        <v>15</v>
      </c>
      <c r="B16" s="5" t="s">
        <v>107</v>
      </c>
      <c r="C16" s="5" t="s">
        <v>116</v>
      </c>
      <c r="D16" s="5" t="s">
        <v>109</v>
      </c>
      <c r="E16" s="5" t="s">
        <v>110</v>
      </c>
      <c r="F16" s="5" t="s">
        <v>117</v>
      </c>
      <c r="G16" s="5" t="s">
        <v>112</v>
      </c>
      <c r="H16" s="5" t="s">
        <v>113</v>
      </c>
      <c r="I16" s="5" t="s">
        <v>118</v>
      </c>
      <c r="J16" s="6" t="s">
        <v>119</v>
      </c>
    </row>
    <row r="17" ht="16.5" spans="1:10">
      <c r="A17" s="4">
        <v>16</v>
      </c>
      <c r="B17" s="5" t="s">
        <v>107</v>
      </c>
      <c r="C17" s="5" t="s">
        <v>120</v>
      </c>
      <c r="D17" s="5" t="s">
        <v>109</v>
      </c>
      <c r="E17" s="5" t="s">
        <v>110</v>
      </c>
      <c r="F17" s="5" t="s">
        <v>121</v>
      </c>
      <c r="G17" s="5" t="s">
        <v>112</v>
      </c>
      <c r="H17" s="5" t="s">
        <v>42</v>
      </c>
      <c r="I17" s="5" t="s">
        <v>122</v>
      </c>
      <c r="J17" s="6" t="s">
        <v>123</v>
      </c>
    </row>
    <row r="18" ht="16.5" spans="1:10">
      <c r="A18" s="4">
        <v>17</v>
      </c>
      <c r="B18" s="5" t="s">
        <v>124</v>
      </c>
      <c r="C18" s="5" t="s">
        <v>125</v>
      </c>
      <c r="D18" s="5" t="s">
        <v>126</v>
      </c>
      <c r="E18" s="5" t="s">
        <v>127</v>
      </c>
      <c r="F18" s="5" t="s">
        <v>128</v>
      </c>
      <c r="G18" s="5" t="s">
        <v>42</v>
      </c>
      <c r="H18" s="5" t="s">
        <v>61</v>
      </c>
      <c r="I18" s="5" t="s">
        <v>129</v>
      </c>
      <c r="J18" s="6" t="s">
        <v>130</v>
      </c>
    </row>
    <row r="19" ht="16.5" spans="1:10">
      <c r="A19" s="4">
        <v>18</v>
      </c>
      <c r="B19" s="5" t="s">
        <v>131</v>
      </c>
      <c r="C19" s="5" t="s">
        <v>132</v>
      </c>
      <c r="D19" s="5" t="s">
        <v>133</v>
      </c>
      <c r="E19" s="5" t="s">
        <v>134</v>
      </c>
      <c r="F19" s="5" t="s">
        <v>135</v>
      </c>
      <c r="G19" s="5" t="s">
        <v>136</v>
      </c>
      <c r="H19" s="5" t="s">
        <v>42</v>
      </c>
      <c r="I19" s="5" t="s">
        <v>137</v>
      </c>
      <c r="J19" s="6" t="s">
        <v>138</v>
      </c>
    </row>
    <row r="20" ht="16.5" spans="1:10">
      <c r="A20" s="4">
        <v>19</v>
      </c>
      <c r="B20" s="5" t="s">
        <v>131</v>
      </c>
      <c r="C20" s="5" t="s">
        <v>139</v>
      </c>
      <c r="D20" s="5" t="s">
        <v>133</v>
      </c>
      <c r="E20" s="5" t="s">
        <v>134</v>
      </c>
      <c r="F20" s="5" t="s">
        <v>140</v>
      </c>
      <c r="G20" s="5" t="s">
        <v>136</v>
      </c>
      <c r="H20" s="5" t="s">
        <v>42</v>
      </c>
      <c r="I20" s="5" t="s">
        <v>141</v>
      </c>
      <c r="J20" s="6" t="s">
        <v>142</v>
      </c>
    </row>
    <row r="21" ht="16.5" spans="1:10">
      <c r="A21" s="4">
        <v>20</v>
      </c>
      <c r="B21" s="5" t="s">
        <v>131</v>
      </c>
      <c r="C21" s="5" t="s">
        <v>143</v>
      </c>
      <c r="D21" s="5" t="s">
        <v>133</v>
      </c>
      <c r="E21" s="5" t="s">
        <v>134</v>
      </c>
      <c r="F21" s="5" t="s">
        <v>140</v>
      </c>
      <c r="G21" s="5" t="s">
        <v>136</v>
      </c>
      <c r="H21" s="5" t="s">
        <v>42</v>
      </c>
      <c r="I21" s="5" t="s">
        <v>141</v>
      </c>
      <c r="J21" s="6" t="s">
        <v>142</v>
      </c>
    </row>
    <row r="22" ht="16.5" spans="1:10">
      <c r="A22" s="4">
        <v>21</v>
      </c>
      <c r="B22" s="5" t="s">
        <v>144</v>
      </c>
      <c r="C22" s="5" t="s">
        <v>145</v>
      </c>
      <c r="D22" s="5" t="s">
        <v>133</v>
      </c>
      <c r="E22" s="5" t="s">
        <v>134</v>
      </c>
      <c r="F22" s="5" t="s">
        <v>146</v>
      </c>
      <c r="G22" s="5" t="s">
        <v>136</v>
      </c>
      <c r="H22" s="5" t="s">
        <v>42</v>
      </c>
      <c r="I22" s="5" t="s">
        <v>147</v>
      </c>
      <c r="J22" s="6" t="s">
        <v>148</v>
      </c>
    </row>
    <row r="23" ht="16.5" spans="1:10">
      <c r="A23" s="4">
        <v>22</v>
      </c>
      <c r="B23" s="5" t="s">
        <v>149</v>
      </c>
      <c r="C23" s="5" t="s">
        <v>150</v>
      </c>
      <c r="D23" s="5" t="s">
        <v>151</v>
      </c>
      <c r="E23" s="5" t="s">
        <v>152</v>
      </c>
      <c r="F23" s="5" t="s">
        <v>153</v>
      </c>
      <c r="G23" s="5" t="s">
        <v>154</v>
      </c>
      <c r="H23" s="5" t="s">
        <v>42</v>
      </c>
      <c r="I23" s="5" t="s">
        <v>155</v>
      </c>
      <c r="J23" s="6" t="s">
        <v>156</v>
      </c>
    </row>
    <row r="24" ht="16.5" spans="1:10">
      <c r="A24" s="4">
        <v>23</v>
      </c>
      <c r="B24" s="5" t="s">
        <v>149</v>
      </c>
      <c r="C24" s="5" t="s">
        <v>157</v>
      </c>
      <c r="D24" s="5" t="s">
        <v>30</v>
      </c>
      <c r="E24" s="5" t="s">
        <v>152</v>
      </c>
      <c r="F24" s="5" t="s">
        <v>158</v>
      </c>
      <c r="G24" s="5" t="s">
        <v>42</v>
      </c>
      <c r="H24" s="5" t="s">
        <v>42</v>
      </c>
      <c r="I24" s="5" t="s">
        <v>159</v>
      </c>
      <c r="J24" s="6" t="s">
        <v>160</v>
      </c>
    </row>
    <row r="25" ht="16.5" spans="1:10">
      <c r="A25" s="4">
        <v>24</v>
      </c>
      <c r="B25" s="5" t="s">
        <v>161</v>
      </c>
      <c r="C25" s="5" t="s">
        <v>162</v>
      </c>
      <c r="D25" s="5" t="s">
        <v>161</v>
      </c>
      <c r="E25" s="5" t="s">
        <v>152</v>
      </c>
      <c r="F25" s="5" t="s">
        <v>163</v>
      </c>
      <c r="G25" s="5" t="s">
        <v>154</v>
      </c>
      <c r="H25" s="5" t="s">
        <v>164</v>
      </c>
      <c r="I25" s="5" t="s">
        <v>165</v>
      </c>
      <c r="J25" s="6" t="s">
        <v>166</v>
      </c>
    </row>
    <row r="26" ht="16.5" spans="1:10">
      <c r="A26" s="7">
        <v>25</v>
      </c>
      <c r="B26" s="8" t="s">
        <v>161</v>
      </c>
      <c r="C26" s="8" t="s">
        <v>167</v>
      </c>
      <c r="D26" s="8" t="s">
        <v>161</v>
      </c>
      <c r="E26" s="8" t="s">
        <v>152</v>
      </c>
      <c r="F26" s="8" t="s">
        <v>163</v>
      </c>
      <c r="G26" s="8" t="s">
        <v>154</v>
      </c>
      <c r="H26" s="8" t="s">
        <v>164</v>
      </c>
      <c r="I26" s="8" t="s">
        <v>165</v>
      </c>
      <c r="J26" s="9" t="s">
        <v>166</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showGridLines="0" workbookViewId="0">
      <selection activeCell="F7" sqref="F7"/>
    </sheetView>
  </sheetViews>
  <sheetFormatPr defaultColWidth="9" defaultRowHeight="14.25" outlineLevelCol="7"/>
  <cols>
    <col min="1" max="2" width="8" customWidth="1"/>
    <col min="3" max="4" width="24" customWidth="1"/>
    <col min="5" max="5" width="18" customWidth="1"/>
    <col min="6" max="6" width="54" customWidth="1"/>
    <col min="7" max="7" width="76" customWidth="1"/>
    <col min="8" max="8" width="48"/>
  </cols>
  <sheetData>
    <row r="1" ht="32" customHeight="1" spans="1:8">
      <c r="A1" s="1" t="s">
        <v>168</v>
      </c>
      <c r="B1" s="2" t="s">
        <v>169</v>
      </c>
      <c r="C1" s="2" t="s">
        <v>170</v>
      </c>
      <c r="D1" s="2" t="s">
        <v>171</v>
      </c>
      <c r="E1" s="2" t="s">
        <v>172</v>
      </c>
      <c r="F1" s="2" t="s">
        <v>173</v>
      </c>
      <c r="G1" s="3" t="s">
        <v>27</v>
      </c>
    </row>
    <row r="2" ht="16.5" spans="1:8">
      <c r="A2" s="4">
        <v>5</v>
      </c>
      <c r="B2" s="5" t="s">
        <v>174</v>
      </c>
      <c r="C2" s="5" t="s">
        <v>29</v>
      </c>
      <c r="D2" s="5" t="s">
        <v>29</v>
      </c>
      <c r="E2" s="5" t="s">
        <v>175</v>
      </c>
      <c r="F2" s="5"/>
      <c r="G2" s="6" t="s">
        <v>176</v>
      </c>
    </row>
    <row r="3" ht="49.5" spans="1:8">
      <c r="A3" s="4">
        <v>6</v>
      </c>
      <c r="B3" s="5" t="s">
        <v>177</v>
      </c>
      <c r="C3" s="5" t="s">
        <v>178</v>
      </c>
      <c r="D3" s="5" t="s">
        <v>38</v>
      </c>
      <c r="E3" s="5" t="s">
        <v>179</v>
      </c>
      <c r="F3" s="5" t="s">
        <v>180</v>
      </c>
      <c r="G3" s="6" t="s">
        <v>181</v>
      </c>
    </row>
    <row r="4" ht="33" spans="1:8">
      <c r="A4" s="4">
        <v>7</v>
      </c>
      <c r="B4" s="5" t="s">
        <v>182</v>
      </c>
      <c r="C4" s="5" t="s">
        <v>183</v>
      </c>
      <c r="D4" s="5" t="s">
        <v>38</v>
      </c>
      <c r="E4" s="5" t="s">
        <v>184</v>
      </c>
      <c r="F4" s="5" t="s">
        <v>185</v>
      </c>
      <c r="G4" s="6" t="s">
        <v>186</v>
      </c>
    </row>
    <row r="5" ht="33" spans="1:8">
      <c r="A5" s="4">
        <v>8</v>
      </c>
      <c r="B5" s="5" t="s">
        <v>187</v>
      </c>
      <c r="C5" s="5" t="s">
        <v>188</v>
      </c>
      <c r="D5" s="5" t="s">
        <v>46</v>
      </c>
      <c r="E5" s="5" t="s">
        <v>189</v>
      </c>
      <c r="F5" s="5"/>
      <c r="G5" s="6" t="s">
        <v>190</v>
      </c>
      <c r="H5" s="10" t="str">
        <f>_xlfn.DISPIMG("ID_851195BE5BE44EF1AD61E3665CC75F8F",1)</f>
        <v>=DISPIMG("ID_851195BE5BE44EF1AD61E3665CC75F8F",1)</v>
      </c>
    </row>
    <row r="6" ht="33" spans="1:8">
      <c r="A6" s="4">
        <v>15</v>
      </c>
      <c r="B6" s="5" t="s">
        <v>191</v>
      </c>
      <c r="C6" s="5" t="s">
        <v>192</v>
      </c>
      <c r="D6" s="5" t="s">
        <v>46</v>
      </c>
      <c r="E6" s="5" t="s">
        <v>193</v>
      </c>
      <c r="F6" s="5" t="s">
        <v>194</v>
      </c>
      <c r="G6" s="6" t="s">
        <v>195</v>
      </c>
      <c r="H6" s="10"/>
    </row>
    <row r="7" ht="198" spans="1:8">
      <c r="A7" s="4">
        <v>17</v>
      </c>
      <c r="B7" s="5" t="s">
        <v>196</v>
      </c>
      <c r="C7" s="5" t="s">
        <v>197</v>
      </c>
      <c r="D7" s="5" t="s">
        <v>59</v>
      </c>
      <c r="E7" s="5" t="s">
        <v>198</v>
      </c>
      <c r="F7" s="5" t="s">
        <v>199</v>
      </c>
      <c r="G7" s="6" t="s">
        <v>200</v>
      </c>
    </row>
    <row r="8" ht="33" spans="1:8">
      <c r="A8" s="4">
        <v>18</v>
      </c>
      <c r="B8" s="5" t="s">
        <v>201</v>
      </c>
      <c r="C8" s="5" t="s">
        <v>52</v>
      </c>
      <c r="D8" s="5" t="s">
        <v>52</v>
      </c>
      <c r="E8" s="5" t="s">
        <v>202</v>
      </c>
      <c r="F8" s="5" t="s">
        <v>203</v>
      </c>
      <c r="G8" s="6" t="s">
        <v>204</v>
      </c>
    </row>
    <row r="9" ht="33" spans="1:8">
      <c r="A9" s="4">
        <v>16</v>
      </c>
      <c r="B9" s="5" t="s">
        <v>205</v>
      </c>
      <c r="C9" s="5" t="s">
        <v>206</v>
      </c>
      <c r="D9" s="5" t="s">
        <v>64</v>
      </c>
      <c r="E9" s="5" t="s">
        <v>207</v>
      </c>
      <c r="F9" s="5" t="s">
        <v>208</v>
      </c>
      <c r="G9" s="6" t="s">
        <v>209</v>
      </c>
    </row>
    <row r="10" ht="49.5" spans="1:8">
      <c r="A10" s="4">
        <v>1</v>
      </c>
      <c r="B10" s="5" t="s">
        <v>210</v>
      </c>
      <c r="C10" s="5" t="s">
        <v>211</v>
      </c>
      <c r="D10" s="5" t="s">
        <v>70</v>
      </c>
      <c r="E10" s="5" t="s">
        <v>212</v>
      </c>
      <c r="F10" s="5" t="s">
        <v>213</v>
      </c>
      <c r="G10" s="6" t="s">
        <v>214</v>
      </c>
    </row>
    <row r="11" ht="33" spans="1:8">
      <c r="A11" s="4">
        <v>2</v>
      </c>
      <c r="B11" s="5" t="s">
        <v>215</v>
      </c>
      <c r="C11" s="5" t="s">
        <v>75</v>
      </c>
      <c r="D11" s="5" t="s">
        <v>75</v>
      </c>
      <c r="E11" s="5" t="s">
        <v>216</v>
      </c>
      <c r="F11" s="5"/>
      <c r="G11" s="6" t="s">
        <v>217</v>
      </c>
    </row>
    <row r="12" ht="49.5" spans="1:8">
      <c r="A12" s="4">
        <v>3</v>
      </c>
      <c r="B12" s="5" t="s">
        <v>218</v>
      </c>
      <c r="C12" s="5" t="s">
        <v>78</v>
      </c>
      <c r="D12" s="5" t="s">
        <v>78</v>
      </c>
      <c r="E12" s="5" t="s">
        <v>219</v>
      </c>
      <c r="F12" s="5"/>
      <c r="G12" s="6" t="s">
        <v>220</v>
      </c>
    </row>
    <row r="13" ht="132" spans="1:8">
      <c r="A13" s="4">
        <v>4</v>
      </c>
      <c r="B13" s="5" t="s">
        <v>221</v>
      </c>
      <c r="C13" s="5" t="s">
        <v>12</v>
      </c>
      <c r="D13" s="5" t="s">
        <v>12</v>
      </c>
      <c r="E13" s="5" t="s">
        <v>222</v>
      </c>
      <c r="F13" s="5" t="s">
        <v>223</v>
      </c>
      <c r="G13" s="6" t="s">
        <v>224</v>
      </c>
    </row>
    <row r="14" ht="33" spans="1:8">
      <c r="A14" s="4">
        <v>9</v>
      </c>
      <c r="B14" s="5" t="s">
        <v>225</v>
      </c>
      <c r="C14" s="5" t="s">
        <v>226</v>
      </c>
      <c r="D14" s="5" t="s">
        <v>227</v>
      </c>
      <c r="E14" s="5" t="s">
        <v>228</v>
      </c>
      <c r="F14" s="5" t="s">
        <v>229</v>
      </c>
      <c r="G14" s="6" t="s">
        <v>230</v>
      </c>
    </row>
    <row r="15" ht="33" spans="1:8">
      <c r="A15" s="4">
        <v>10</v>
      </c>
      <c r="B15" s="5" t="s">
        <v>231</v>
      </c>
      <c r="C15" s="5" t="s">
        <v>108</v>
      </c>
      <c r="D15" s="5" t="s">
        <v>108</v>
      </c>
      <c r="E15" s="5" t="s">
        <v>232</v>
      </c>
      <c r="F15" s="5" t="s">
        <v>233</v>
      </c>
      <c r="G15" s="6" t="s">
        <v>234</v>
      </c>
    </row>
    <row r="16" ht="33" spans="1:8">
      <c r="A16" s="4">
        <v>11</v>
      </c>
      <c r="B16" s="5" t="s">
        <v>235</v>
      </c>
      <c r="C16" s="5" t="s">
        <v>116</v>
      </c>
      <c r="D16" s="5" t="s">
        <v>116</v>
      </c>
      <c r="E16" s="5" t="s">
        <v>232</v>
      </c>
      <c r="F16" s="5" t="s">
        <v>236</v>
      </c>
      <c r="G16" s="6" t="s">
        <v>237</v>
      </c>
    </row>
    <row r="17" ht="33" spans="1:7">
      <c r="A17" s="4">
        <v>12</v>
      </c>
      <c r="B17" s="5" t="s">
        <v>238</v>
      </c>
      <c r="C17" s="5" t="s">
        <v>239</v>
      </c>
      <c r="D17" s="5" t="s">
        <v>125</v>
      </c>
      <c r="E17" s="5" t="s">
        <v>240</v>
      </c>
      <c r="F17" s="5" t="s">
        <v>241</v>
      </c>
      <c r="G17" s="6" t="s">
        <v>242</v>
      </c>
    </row>
    <row r="18" ht="49.5" spans="1:7">
      <c r="A18" s="4">
        <v>13</v>
      </c>
      <c r="B18" s="5" t="s">
        <v>243</v>
      </c>
      <c r="C18" s="5" t="s">
        <v>120</v>
      </c>
      <c r="D18" s="5" t="s">
        <v>120</v>
      </c>
      <c r="E18" s="5" t="s">
        <v>244</v>
      </c>
      <c r="F18" s="5" t="s">
        <v>245</v>
      </c>
      <c r="G18" s="6" t="s">
        <v>246</v>
      </c>
    </row>
    <row r="19" ht="33" spans="1:7">
      <c r="A19" s="4">
        <v>14</v>
      </c>
      <c r="B19" s="5" t="s">
        <v>247</v>
      </c>
      <c r="C19" s="5" t="s">
        <v>248</v>
      </c>
      <c r="D19" s="5" t="s">
        <v>150</v>
      </c>
      <c r="E19" s="5" t="s">
        <v>249</v>
      </c>
      <c r="F19" s="5"/>
      <c r="G19" s="6" t="s">
        <v>250</v>
      </c>
    </row>
    <row r="20" ht="33" spans="1:7">
      <c r="A20" s="4">
        <v>19</v>
      </c>
      <c r="B20" s="5" t="s">
        <v>251</v>
      </c>
      <c r="C20" s="5" t="s">
        <v>252</v>
      </c>
      <c r="D20" s="5" t="s">
        <v>88</v>
      </c>
      <c r="E20" s="5" t="s">
        <v>253</v>
      </c>
      <c r="F20" s="5" t="s">
        <v>254</v>
      </c>
      <c r="G20" s="6" t="s">
        <v>255</v>
      </c>
    </row>
    <row r="21" ht="33" spans="1:7">
      <c r="A21" s="4">
        <v>26</v>
      </c>
      <c r="B21" s="5" t="s">
        <v>256</v>
      </c>
      <c r="C21" s="5" t="s">
        <v>257</v>
      </c>
      <c r="D21" s="5" t="s">
        <v>101</v>
      </c>
      <c r="E21" s="5" t="s">
        <v>258</v>
      </c>
      <c r="F21" s="5" t="s">
        <v>259</v>
      </c>
      <c r="G21" s="6" t="s">
        <v>260</v>
      </c>
    </row>
    <row r="22" ht="33" spans="1:7">
      <c r="A22" s="4">
        <v>25</v>
      </c>
      <c r="B22" s="5" t="s">
        <v>261</v>
      </c>
      <c r="C22" s="5" t="s">
        <v>93</v>
      </c>
      <c r="D22" s="5" t="s">
        <v>93</v>
      </c>
      <c r="E22" s="5" t="s">
        <v>97</v>
      </c>
      <c r="F22" s="5" t="s">
        <v>262</v>
      </c>
      <c r="G22" s="6" t="s">
        <v>263</v>
      </c>
    </row>
    <row r="23" ht="33" spans="1:7">
      <c r="A23" s="4">
        <v>28</v>
      </c>
      <c r="B23" s="5" t="s">
        <v>264</v>
      </c>
      <c r="C23" s="5" t="s">
        <v>265</v>
      </c>
      <c r="D23" s="5" t="s">
        <v>12</v>
      </c>
      <c r="E23" s="5" t="s">
        <v>266</v>
      </c>
      <c r="F23" s="5" t="s">
        <v>267</v>
      </c>
      <c r="G23" s="6" t="s">
        <v>268</v>
      </c>
    </row>
    <row r="24" ht="49.5" spans="1:7">
      <c r="A24" s="4">
        <v>20</v>
      </c>
      <c r="B24" s="5" t="s">
        <v>269</v>
      </c>
      <c r="C24" s="5" t="s">
        <v>270</v>
      </c>
      <c r="D24" s="5" t="s">
        <v>132</v>
      </c>
      <c r="E24" s="5" t="s">
        <v>271</v>
      </c>
      <c r="F24" s="5" t="s">
        <v>272</v>
      </c>
      <c r="G24" s="6" t="s">
        <v>273</v>
      </c>
    </row>
    <row r="25" ht="16.5" spans="1:7">
      <c r="A25" s="4">
        <v>21</v>
      </c>
      <c r="B25" s="5" t="s">
        <v>274</v>
      </c>
      <c r="C25" s="5" t="s">
        <v>275</v>
      </c>
      <c r="D25" s="5" t="s">
        <v>139</v>
      </c>
      <c r="E25" s="5" t="s">
        <v>271</v>
      </c>
      <c r="F25" s="5" t="s">
        <v>272</v>
      </c>
      <c r="G25" s="6" t="s">
        <v>276</v>
      </c>
    </row>
    <row r="26" ht="33" spans="1:7">
      <c r="A26" s="4">
        <v>22</v>
      </c>
      <c r="B26" s="5" t="s">
        <v>277</v>
      </c>
      <c r="C26" s="5" t="s">
        <v>278</v>
      </c>
      <c r="D26" s="5" t="s">
        <v>228</v>
      </c>
      <c r="E26" s="5" t="s">
        <v>228</v>
      </c>
      <c r="F26" s="5" t="s">
        <v>272</v>
      </c>
      <c r="G26" s="6" t="s">
        <v>279</v>
      </c>
    </row>
    <row r="27" ht="16.5" spans="1:7">
      <c r="A27" s="4">
        <v>23</v>
      </c>
      <c r="B27" s="5" t="s">
        <v>280</v>
      </c>
      <c r="C27" s="5" t="s">
        <v>281</v>
      </c>
      <c r="D27" s="5" t="s">
        <v>143</v>
      </c>
      <c r="E27" s="5" t="s">
        <v>271</v>
      </c>
      <c r="F27" s="5" t="s">
        <v>272</v>
      </c>
      <c r="G27" s="6" t="s">
        <v>282</v>
      </c>
    </row>
    <row r="28" ht="33" spans="1:7">
      <c r="A28" s="4">
        <v>24</v>
      </c>
      <c r="B28" s="5" t="s">
        <v>283</v>
      </c>
      <c r="C28" s="5" t="s">
        <v>284</v>
      </c>
      <c r="D28" s="5" t="s">
        <v>145</v>
      </c>
      <c r="E28" s="5" t="s">
        <v>271</v>
      </c>
      <c r="F28" s="5" t="s">
        <v>272</v>
      </c>
      <c r="G28" s="6" t="s">
        <v>285</v>
      </c>
    </row>
    <row r="29" ht="33" spans="1:7">
      <c r="A29" s="4">
        <v>27</v>
      </c>
      <c r="B29" s="5" t="s">
        <v>286</v>
      </c>
      <c r="C29" s="5" t="s">
        <v>157</v>
      </c>
      <c r="D29" s="5" t="s">
        <v>157</v>
      </c>
      <c r="E29" s="5" t="s">
        <v>287</v>
      </c>
      <c r="F29" s="5" t="s">
        <v>288</v>
      </c>
      <c r="G29" s="6" t="s">
        <v>289</v>
      </c>
    </row>
    <row r="30" ht="33" spans="1:7">
      <c r="A30" s="4">
        <v>29</v>
      </c>
      <c r="B30" s="5" t="s">
        <v>290</v>
      </c>
      <c r="C30" s="5" t="s">
        <v>162</v>
      </c>
      <c r="D30" s="5" t="s">
        <v>162</v>
      </c>
      <c r="E30" s="5" t="s">
        <v>291</v>
      </c>
      <c r="F30" s="5" t="s">
        <v>292</v>
      </c>
      <c r="G30" s="6" t="s">
        <v>293</v>
      </c>
    </row>
    <row r="31" ht="49.5" spans="1:7">
      <c r="A31" s="7">
        <v>30</v>
      </c>
      <c r="B31" s="8" t="s">
        <v>294</v>
      </c>
      <c r="C31" s="8" t="s">
        <v>167</v>
      </c>
      <c r="D31" s="8" t="s">
        <v>167</v>
      </c>
      <c r="E31" s="8" t="s">
        <v>291</v>
      </c>
      <c r="F31" s="8" t="s">
        <v>292</v>
      </c>
      <c r="G31" s="9" t="s">
        <v>295</v>
      </c>
    </row>
  </sheetData>
  <mergeCells count="1">
    <mergeCell ref="H5:H6"/>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showGridLines="0" topLeftCell="A5" workbookViewId="0">
      <selection activeCell="F22" sqref="F22"/>
    </sheetView>
  </sheetViews>
  <sheetFormatPr defaultColWidth="9" defaultRowHeight="14.25" outlineLevelCol="5"/>
  <cols>
    <col min="1" max="2" width="8" customWidth="1"/>
    <col min="3" max="4" width="24" customWidth="1"/>
    <col min="5" max="5" width="18" customWidth="1"/>
    <col min="6" max="6" width="76" customWidth="1"/>
  </cols>
  <sheetData>
    <row r="1" ht="32" customHeight="1" spans="1:6">
      <c r="A1" s="1" t="s">
        <v>168</v>
      </c>
      <c r="B1" s="2" t="s">
        <v>169</v>
      </c>
      <c r="C1" s="2" t="s">
        <v>296</v>
      </c>
      <c r="D1" s="2" t="s">
        <v>171</v>
      </c>
      <c r="E1" s="2" t="s">
        <v>172</v>
      </c>
      <c r="F1" s="3" t="s">
        <v>27</v>
      </c>
    </row>
    <row r="2" ht="33" spans="1:6">
      <c r="A2" s="4">
        <v>5</v>
      </c>
      <c r="B2" s="5" t="s">
        <v>174</v>
      </c>
      <c r="C2" s="5" t="s">
        <v>29</v>
      </c>
      <c r="D2" s="5" t="s">
        <v>29</v>
      </c>
      <c r="E2" s="5" t="s">
        <v>175</v>
      </c>
      <c r="F2" s="6" t="s">
        <v>297</v>
      </c>
    </row>
    <row r="3" ht="33" spans="1:6">
      <c r="A3" s="4">
        <v>6</v>
      </c>
      <c r="B3" s="5" t="s">
        <v>177</v>
      </c>
      <c r="C3" s="5" t="s">
        <v>178</v>
      </c>
      <c r="D3" s="5" t="s">
        <v>38</v>
      </c>
      <c r="E3" s="5" t="s">
        <v>179</v>
      </c>
      <c r="F3" s="6" t="s">
        <v>298</v>
      </c>
    </row>
    <row r="4" ht="33" spans="1:6">
      <c r="A4" s="4">
        <v>7</v>
      </c>
      <c r="B4" s="5" t="s">
        <v>182</v>
      </c>
      <c r="C4" s="5" t="s">
        <v>183</v>
      </c>
      <c r="D4" s="5" t="s">
        <v>38</v>
      </c>
      <c r="E4" s="5" t="s">
        <v>184</v>
      </c>
      <c r="F4" s="6" t="s">
        <v>299</v>
      </c>
    </row>
    <row r="5" ht="49.5" spans="1:6">
      <c r="A5" s="4">
        <v>8</v>
      </c>
      <c r="B5" s="5" t="s">
        <v>187</v>
      </c>
      <c r="C5" s="5" t="s">
        <v>188</v>
      </c>
      <c r="D5" s="5" t="s">
        <v>46</v>
      </c>
      <c r="E5" s="5" t="s">
        <v>189</v>
      </c>
      <c r="F5" s="6" t="s">
        <v>300</v>
      </c>
    </row>
    <row r="6" ht="49.5" spans="1:6">
      <c r="A6" s="4">
        <v>16</v>
      </c>
      <c r="B6" s="5" t="s">
        <v>205</v>
      </c>
      <c r="C6" s="5" t="s">
        <v>192</v>
      </c>
      <c r="D6" s="5" t="s">
        <v>46</v>
      </c>
      <c r="E6" s="5" t="s">
        <v>193</v>
      </c>
      <c r="F6" s="6" t="s">
        <v>301</v>
      </c>
    </row>
    <row r="7" ht="33" spans="1:6">
      <c r="A7" s="4">
        <v>18</v>
      </c>
      <c r="B7" s="5" t="s">
        <v>201</v>
      </c>
      <c r="C7" s="5" t="s">
        <v>197</v>
      </c>
      <c r="D7" s="5" t="s">
        <v>59</v>
      </c>
      <c r="E7" s="5" t="s">
        <v>198</v>
      </c>
      <c r="F7" s="6" t="s">
        <v>302</v>
      </c>
    </row>
    <row r="8" ht="33" spans="1:6">
      <c r="A8" s="4">
        <v>19</v>
      </c>
      <c r="B8" s="5" t="s">
        <v>251</v>
      </c>
      <c r="C8" s="5" t="s">
        <v>52</v>
      </c>
      <c r="D8" s="5" t="s">
        <v>52</v>
      </c>
      <c r="E8" s="5" t="s">
        <v>202</v>
      </c>
      <c r="F8" s="6" t="s">
        <v>303</v>
      </c>
    </row>
    <row r="9" ht="33" spans="1:6">
      <c r="A9" s="4">
        <v>17</v>
      </c>
      <c r="B9" s="5" t="s">
        <v>196</v>
      </c>
      <c r="C9" s="5" t="s">
        <v>206</v>
      </c>
      <c r="D9" s="5" t="s">
        <v>64</v>
      </c>
      <c r="E9" s="5" t="s">
        <v>207</v>
      </c>
      <c r="F9" s="6" t="s">
        <v>304</v>
      </c>
    </row>
    <row r="10" ht="49.5" spans="1:6">
      <c r="A10" s="4">
        <v>1</v>
      </c>
      <c r="B10" s="5" t="s">
        <v>210</v>
      </c>
      <c r="C10" s="5" t="s">
        <v>211</v>
      </c>
      <c r="D10" s="5" t="s">
        <v>70</v>
      </c>
      <c r="E10" s="5" t="s">
        <v>212</v>
      </c>
      <c r="F10" s="6" t="s">
        <v>305</v>
      </c>
    </row>
    <row r="11" ht="33" spans="1:6">
      <c r="A11" s="4">
        <v>2</v>
      </c>
      <c r="B11" s="5" t="s">
        <v>215</v>
      </c>
      <c r="C11" s="5" t="s">
        <v>75</v>
      </c>
      <c r="D11" s="5" t="s">
        <v>75</v>
      </c>
      <c r="E11" s="5" t="s">
        <v>216</v>
      </c>
      <c r="F11" s="6" t="s">
        <v>306</v>
      </c>
    </row>
    <row r="12" ht="49.5" spans="1:6">
      <c r="A12" s="4">
        <v>3</v>
      </c>
      <c r="B12" s="5" t="s">
        <v>218</v>
      </c>
      <c r="C12" s="5" t="s">
        <v>78</v>
      </c>
      <c r="D12" s="5" t="s">
        <v>78</v>
      </c>
      <c r="E12" s="5" t="s">
        <v>307</v>
      </c>
      <c r="F12" s="6" t="s">
        <v>308</v>
      </c>
    </row>
    <row r="13" ht="33" spans="1:6">
      <c r="A13" s="4">
        <v>4</v>
      </c>
      <c r="B13" s="5" t="s">
        <v>221</v>
      </c>
      <c r="C13" s="5" t="s">
        <v>12</v>
      </c>
      <c r="D13" s="5" t="s">
        <v>12</v>
      </c>
      <c r="E13" s="5" t="s">
        <v>222</v>
      </c>
      <c r="F13" s="6" t="s">
        <v>309</v>
      </c>
    </row>
    <row r="14" ht="33" spans="1:6">
      <c r="A14" s="4">
        <v>9</v>
      </c>
      <c r="B14" s="5" t="s">
        <v>225</v>
      </c>
      <c r="C14" s="5" t="s">
        <v>226</v>
      </c>
      <c r="D14" s="5" t="s">
        <v>227</v>
      </c>
      <c r="E14" s="5" t="s">
        <v>228</v>
      </c>
      <c r="F14" s="6" t="s">
        <v>310</v>
      </c>
    </row>
    <row r="15" ht="33" spans="1:6">
      <c r="A15" s="4">
        <v>11</v>
      </c>
      <c r="B15" s="5" t="s">
        <v>235</v>
      </c>
      <c r="C15" s="5" t="s">
        <v>108</v>
      </c>
      <c r="D15" s="5" t="s">
        <v>108</v>
      </c>
      <c r="E15" s="5" t="s">
        <v>311</v>
      </c>
      <c r="F15" s="6" t="s">
        <v>312</v>
      </c>
    </row>
    <row r="16" ht="33" spans="1:6">
      <c r="A16" s="4">
        <v>12</v>
      </c>
      <c r="B16" s="5" t="s">
        <v>238</v>
      </c>
      <c r="C16" s="5" t="s">
        <v>116</v>
      </c>
      <c r="D16" s="5" t="s">
        <v>116</v>
      </c>
      <c r="E16" s="5" t="s">
        <v>313</v>
      </c>
      <c r="F16" s="6" t="s">
        <v>314</v>
      </c>
    </row>
    <row r="17" ht="33" spans="1:6">
      <c r="A17" s="4">
        <v>13</v>
      </c>
      <c r="B17" s="5" t="s">
        <v>243</v>
      </c>
      <c r="C17" s="5" t="s">
        <v>239</v>
      </c>
      <c r="D17" s="5" t="s">
        <v>125</v>
      </c>
      <c r="E17" s="5" t="s">
        <v>315</v>
      </c>
      <c r="F17" s="6" t="s">
        <v>316</v>
      </c>
    </row>
    <row r="18" ht="33" spans="1:6">
      <c r="A18" s="4">
        <v>14</v>
      </c>
      <c r="B18" s="5" t="s">
        <v>247</v>
      </c>
      <c r="C18" s="5" t="s">
        <v>120</v>
      </c>
      <c r="D18" s="5" t="s">
        <v>120</v>
      </c>
      <c r="E18" s="5" t="s">
        <v>313</v>
      </c>
      <c r="F18" s="6" t="s">
        <v>317</v>
      </c>
    </row>
    <row r="19" ht="33" spans="1:6">
      <c r="A19" s="4">
        <v>15</v>
      </c>
      <c r="B19" s="5" t="s">
        <v>191</v>
      </c>
      <c r="C19" s="5" t="s">
        <v>248</v>
      </c>
      <c r="D19" s="5" t="s">
        <v>150</v>
      </c>
      <c r="E19" s="5" t="s">
        <v>249</v>
      </c>
      <c r="F19" s="6" t="s">
        <v>318</v>
      </c>
    </row>
    <row r="20" ht="33" spans="1:6">
      <c r="A20" s="4">
        <v>20</v>
      </c>
      <c r="B20" s="5" t="s">
        <v>269</v>
      </c>
      <c r="C20" s="5" t="s">
        <v>252</v>
      </c>
      <c r="D20" s="5" t="s">
        <v>88</v>
      </c>
      <c r="E20" s="5" t="s">
        <v>253</v>
      </c>
      <c r="F20" s="6" t="s">
        <v>319</v>
      </c>
    </row>
    <row r="21" ht="33" spans="1:6">
      <c r="A21" s="4">
        <v>10</v>
      </c>
      <c r="B21" s="5" t="s">
        <v>231</v>
      </c>
      <c r="C21" s="5" t="s">
        <v>257</v>
      </c>
      <c r="D21" s="5" t="s">
        <v>101</v>
      </c>
      <c r="E21" s="5" t="s">
        <v>258</v>
      </c>
      <c r="F21" s="6" t="s">
        <v>320</v>
      </c>
    </row>
    <row r="22" ht="33" spans="1:6">
      <c r="A22" s="4">
        <v>21</v>
      </c>
      <c r="B22" s="5" t="s">
        <v>274</v>
      </c>
      <c r="C22" s="5" t="s">
        <v>93</v>
      </c>
      <c r="D22" s="5" t="s">
        <v>93</v>
      </c>
      <c r="E22" s="5" t="s">
        <v>97</v>
      </c>
      <c r="F22" s="6" t="s">
        <v>321</v>
      </c>
    </row>
    <row r="23" ht="33" spans="1:6">
      <c r="A23" s="4">
        <v>22</v>
      </c>
      <c r="B23" s="5" t="s">
        <v>277</v>
      </c>
      <c r="C23" s="5" t="s">
        <v>265</v>
      </c>
      <c r="D23" s="5" t="s">
        <v>12</v>
      </c>
      <c r="E23" s="5" t="s">
        <v>266</v>
      </c>
      <c r="F23" s="6" t="s">
        <v>322</v>
      </c>
    </row>
    <row r="24" ht="33" spans="1:6">
      <c r="A24" s="4">
        <v>23</v>
      </c>
      <c r="B24" s="5" t="s">
        <v>280</v>
      </c>
      <c r="C24" s="5" t="s">
        <v>157</v>
      </c>
      <c r="D24" s="5" t="s">
        <v>157</v>
      </c>
      <c r="E24" s="5" t="s">
        <v>287</v>
      </c>
      <c r="F24" s="6" t="s">
        <v>323</v>
      </c>
    </row>
    <row r="25" ht="33" spans="1:6">
      <c r="A25" s="4">
        <v>24</v>
      </c>
      <c r="B25" s="5" t="s">
        <v>283</v>
      </c>
      <c r="C25" s="5" t="s">
        <v>162</v>
      </c>
      <c r="D25" s="5" t="s">
        <v>162</v>
      </c>
      <c r="E25" s="5" t="s">
        <v>291</v>
      </c>
      <c r="F25" s="6" t="s">
        <v>324</v>
      </c>
    </row>
    <row r="26" ht="49.5" spans="1:6">
      <c r="A26" s="7">
        <v>25</v>
      </c>
      <c r="B26" s="8" t="s">
        <v>261</v>
      </c>
      <c r="C26" s="8" t="s">
        <v>167</v>
      </c>
      <c r="D26" s="8" t="s">
        <v>167</v>
      </c>
      <c r="E26" s="8" t="s">
        <v>291</v>
      </c>
      <c r="F26" s="9" t="s">
        <v>325</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
  <sheetViews>
    <sheetView showGridLines="0" workbookViewId="0">
      <selection activeCell="A1" sqref="A1"/>
    </sheetView>
  </sheetViews>
  <sheetFormatPr defaultColWidth="9" defaultRowHeight="14.25" outlineLevelCol="5"/>
  <cols>
    <col min="1" max="1" width="10" customWidth="1"/>
    <col min="2" max="2" width="12" customWidth="1"/>
    <col min="3" max="3" width="20" customWidth="1"/>
    <col min="4" max="4" width="24" customWidth="1"/>
    <col min="5" max="5" width="62" customWidth="1"/>
    <col min="6" max="6" width="38" customWidth="1"/>
  </cols>
  <sheetData>
    <row r="1" ht="32" customHeight="1" spans="1:6">
      <c r="A1" s="1" t="s">
        <v>38</v>
      </c>
      <c r="B1" s="2" t="s">
        <v>326</v>
      </c>
      <c r="C1" s="2" t="s">
        <v>52</v>
      </c>
      <c r="D1" s="2" t="s">
        <v>59</v>
      </c>
      <c r="E1" s="2" t="s">
        <v>327</v>
      </c>
      <c r="F1" s="3" t="s">
        <v>157</v>
      </c>
    </row>
    <row r="2" ht="16.5" spans="1:6">
      <c r="A2" s="4" t="s">
        <v>328</v>
      </c>
      <c r="B2" s="5" t="s">
        <v>329</v>
      </c>
      <c r="C2" s="5" t="s">
        <v>330</v>
      </c>
      <c r="D2" s="5" t="s">
        <v>331</v>
      </c>
      <c r="E2" s="5" t="s">
        <v>332</v>
      </c>
      <c r="F2" s="6" t="s">
        <v>333</v>
      </c>
    </row>
    <row r="3" ht="16.5" spans="1:6">
      <c r="A3" s="4" t="s">
        <v>328</v>
      </c>
      <c r="B3" s="5" t="s">
        <v>329</v>
      </c>
      <c r="C3" s="5" t="s">
        <v>334</v>
      </c>
      <c r="D3" s="5" t="s">
        <v>335</v>
      </c>
      <c r="E3" s="5" t="s">
        <v>332</v>
      </c>
      <c r="F3" s="6" t="s">
        <v>336</v>
      </c>
    </row>
    <row r="4" ht="16.5" spans="1:6">
      <c r="A4" s="4" t="s">
        <v>328</v>
      </c>
      <c r="B4" s="5" t="s">
        <v>329</v>
      </c>
      <c r="C4" s="5" t="s">
        <v>337</v>
      </c>
      <c r="D4" s="5" t="s">
        <v>338</v>
      </c>
      <c r="E4" s="5" t="s">
        <v>332</v>
      </c>
      <c r="F4" s="6" t="s">
        <v>336</v>
      </c>
    </row>
    <row r="5" ht="16.5" spans="1:6">
      <c r="A5" s="4" t="s">
        <v>339</v>
      </c>
      <c r="B5" s="5" t="s">
        <v>340</v>
      </c>
      <c r="C5" s="5" t="s">
        <v>341</v>
      </c>
      <c r="D5" s="5" t="s">
        <v>342</v>
      </c>
      <c r="E5" s="5" t="s">
        <v>343</v>
      </c>
      <c r="F5" s="6" t="s">
        <v>344</v>
      </c>
    </row>
    <row r="6" ht="16.5" spans="1:6">
      <c r="A6" s="4" t="s">
        <v>345</v>
      </c>
      <c r="B6" s="5" t="s">
        <v>346</v>
      </c>
      <c r="C6" s="5" t="s">
        <v>347</v>
      </c>
      <c r="D6" s="5" t="s">
        <v>348</v>
      </c>
      <c r="E6" s="5" t="s">
        <v>349</v>
      </c>
      <c r="F6" s="6" t="s">
        <v>336</v>
      </c>
    </row>
    <row r="7" ht="16.5" spans="1:6">
      <c r="A7" s="4" t="s">
        <v>350</v>
      </c>
      <c r="B7" s="5" t="s">
        <v>351</v>
      </c>
      <c r="C7" s="5" t="s">
        <v>352</v>
      </c>
      <c r="D7" s="5" t="s">
        <v>348</v>
      </c>
      <c r="E7" s="5" t="s">
        <v>353</v>
      </c>
      <c r="F7" s="6" t="s">
        <v>354</v>
      </c>
    </row>
    <row r="8" ht="16.5" spans="1:6">
      <c r="A8" s="4" t="s">
        <v>355</v>
      </c>
      <c r="B8" s="5" t="s">
        <v>356</v>
      </c>
      <c r="C8" s="5" t="s">
        <v>357</v>
      </c>
      <c r="D8" s="5" t="s">
        <v>348</v>
      </c>
      <c r="E8" s="5" t="s">
        <v>358</v>
      </c>
      <c r="F8" s="6" t="s">
        <v>336</v>
      </c>
    </row>
    <row r="9" ht="16.5" spans="1:6">
      <c r="A9" s="7" t="s">
        <v>359</v>
      </c>
      <c r="B9" s="8" t="s">
        <v>360</v>
      </c>
      <c r="C9" s="8" t="s">
        <v>361</v>
      </c>
      <c r="D9" s="8" t="s">
        <v>348</v>
      </c>
      <c r="E9" s="8" t="s">
        <v>362</v>
      </c>
      <c r="F9" s="9" t="s">
        <v>336</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showGridLines="0" workbookViewId="0">
      <selection activeCell="A1" sqref="A1"/>
    </sheetView>
  </sheetViews>
  <sheetFormatPr defaultColWidth="9" defaultRowHeight="14.25" outlineLevelCol="2"/>
  <cols>
    <col min="1" max="1" width="24" customWidth="1"/>
    <col min="2" max="3" width="76" customWidth="1"/>
  </cols>
  <sheetData>
    <row r="1" ht="32" customHeight="1" spans="1:3">
      <c r="A1" s="1" t="s">
        <v>363</v>
      </c>
      <c r="B1" s="2" t="s">
        <v>364</v>
      </c>
      <c r="C1" s="3" t="s">
        <v>365</v>
      </c>
    </row>
    <row r="2" ht="33" spans="1:3">
      <c r="A2" s="4" t="s">
        <v>366</v>
      </c>
      <c r="B2" s="5" t="s">
        <v>367</v>
      </c>
      <c r="C2" s="6" t="s">
        <v>368</v>
      </c>
    </row>
    <row r="3" ht="49.5" spans="1:3">
      <c r="A3" s="4" t="s">
        <v>369</v>
      </c>
      <c r="B3" s="5" t="s">
        <v>370</v>
      </c>
      <c r="C3" s="6" t="s">
        <v>371</v>
      </c>
    </row>
    <row r="4" ht="33" spans="1:3">
      <c r="A4" s="4" t="s">
        <v>372</v>
      </c>
      <c r="B4" s="5" t="s">
        <v>373</v>
      </c>
      <c r="C4" s="6" t="s">
        <v>374</v>
      </c>
    </row>
    <row r="5" ht="16.5" spans="1:3">
      <c r="A5" s="4" t="s">
        <v>375</v>
      </c>
      <c r="B5" s="5" t="s">
        <v>376</v>
      </c>
      <c r="C5" s="6" t="s">
        <v>377</v>
      </c>
    </row>
    <row r="6" ht="33" spans="1:3">
      <c r="A6" s="4" t="s">
        <v>378</v>
      </c>
      <c r="B6" s="5" t="s">
        <v>379</v>
      </c>
      <c r="C6" s="6" t="s">
        <v>380</v>
      </c>
    </row>
    <row r="7" ht="16.5" spans="1:3">
      <c r="A7" s="4" t="s">
        <v>381</v>
      </c>
      <c r="B7" s="5" t="s">
        <v>382</v>
      </c>
      <c r="C7" s="6" t="s">
        <v>383</v>
      </c>
    </row>
    <row r="8" ht="16.5" spans="1:3">
      <c r="A8" s="4" t="s">
        <v>125</v>
      </c>
      <c r="B8" s="5" t="s">
        <v>384</v>
      </c>
      <c r="C8" s="6" t="s">
        <v>385</v>
      </c>
    </row>
    <row r="9" ht="16.5" spans="1:3">
      <c r="A9" s="7" t="s">
        <v>386</v>
      </c>
      <c r="B9" s="8" t="s">
        <v>387</v>
      </c>
      <c r="C9" s="9" t="s">
        <v>388</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showGridLines="0" workbookViewId="0">
      <selection activeCell="C2" sqref="C2:C8"/>
    </sheetView>
  </sheetViews>
  <sheetFormatPr defaultColWidth="9" defaultRowHeight="14.25" outlineLevelRow="7" outlineLevelCol="3"/>
  <cols>
    <col min="1" max="1" width="18" customWidth="1"/>
    <col min="2" max="2" width="28" customWidth="1"/>
    <col min="3" max="3" width="62" customWidth="1"/>
    <col min="4" max="4" width="16" customWidth="1"/>
  </cols>
  <sheetData>
    <row r="1" ht="32" customHeight="1" spans="1:4">
      <c r="A1" s="1" t="s">
        <v>389</v>
      </c>
      <c r="B1" s="2" t="s">
        <v>390</v>
      </c>
      <c r="C1" s="2" t="s">
        <v>391</v>
      </c>
      <c r="D1" s="3" t="s">
        <v>392</v>
      </c>
    </row>
    <row r="2" ht="16.5" spans="1:4">
      <c r="A2" s="4" t="s">
        <v>393</v>
      </c>
      <c r="B2" s="5" t="s">
        <v>394</v>
      </c>
      <c r="C2" s="5" t="s">
        <v>395</v>
      </c>
      <c r="D2" s="6" t="s">
        <v>396</v>
      </c>
    </row>
    <row r="3" ht="16.5" spans="1:4">
      <c r="A3" s="4" t="s">
        <v>393</v>
      </c>
      <c r="B3" s="5" t="s">
        <v>397</v>
      </c>
      <c r="C3" s="5" t="s">
        <v>398</v>
      </c>
      <c r="D3" s="6" t="s">
        <v>396</v>
      </c>
    </row>
    <row r="4" ht="16.5" spans="1:4">
      <c r="A4" s="4" t="s">
        <v>399</v>
      </c>
      <c r="B4" s="5" t="s">
        <v>38</v>
      </c>
      <c r="C4" s="5" t="s">
        <v>400</v>
      </c>
      <c r="D4" s="6" t="s">
        <v>396</v>
      </c>
    </row>
    <row r="5" ht="16.5" spans="1:4">
      <c r="A5" s="4" t="s">
        <v>399</v>
      </c>
      <c r="B5" s="5" t="s">
        <v>401</v>
      </c>
      <c r="C5" s="5" t="s">
        <v>402</v>
      </c>
      <c r="D5" s="6" t="s">
        <v>396</v>
      </c>
    </row>
    <row r="6" ht="16.5" spans="1:4">
      <c r="A6" s="4" t="s">
        <v>399</v>
      </c>
      <c r="B6" s="5" t="s">
        <v>403</v>
      </c>
      <c r="C6" s="5" t="s">
        <v>404</v>
      </c>
      <c r="D6" s="6" t="s">
        <v>396</v>
      </c>
    </row>
    <row r="7" ht="16.5" spans="1:4">
      <c r="A7" s="4" t="s">
        <v>405</v>
      </c>
      <c r="B7" s="5" t="s">
        <v>406</v>
      </c>
      <c r="C7" s="5" t="s">
        <v>407</v>
      </c>
      <c r="D7" s="6" t="s">
        <v>396</v>
      </c>
    </row>
    <row r="8" ht="16.5" spans="1:4">
      <c r="A8" s="7" t="s">
        <v>161</v>
      </c>
      <c r="B8" s="8" t="s">
        <v>408</v>
      </c>
      <c r="C8" s="8" t="s">
        <v>409</v>
      </c>
      <c r="D8" s="9" t="s">
        <v>396</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统一结论</vt:lpstr>
      <vt:lpstr>统一字段字典</vt:lpstr>
      <vt:lpstr>渠道号原字段映射</vt:lpstr>
      <vt:lpstr>达人号原字段映射</vt:lpstr>
      <vt:lpstr>站点店铺联动</vt:lpstr>
      <vt:lpstr>清洗与派生规则</vt:lpstr>
      <vt:lpstr>TAP预留字段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Lis</cp:lastModifiedBy>
  <dcterms:created xsi:type="dcterms:W3CDTF">2026-07-29T07:55:14Z</dcterms:created>
  <dcterms:modified xsi:type="dcterms:W3CDTF">2026-07-29T07:57:47Z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4A220B7A4B454AAEA4BFC912EEA0931F_12</vt:lpwstr>
  </property>
  <property fmtid="{D5CDD505-2E9C-101B-9397-08002B2CF9AE}" pid="3" name="KSOProductBuildVer">
    <vt:lpwstr>2052-12.1.0.28043</vt:lpwstr>
  </property>
  <property fmtid="{D5CDD505-2E9C-101B-9397-08002B2CF9AE}" pid="4" name="CalculationRule">
    <vt:i4>0</vt:i4>
  </property>
</Properties>
</file>
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总表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优先级与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color rgb="00FFFFFF"/>
      <sz val="13"/>
    </font>
    <font>
      <name val="Microsoft YaHei"/>
      <i val="1"/>
      <color rgb="005A6672"/>
      <sz val="9.5"/>
    </font>
    <font>
      <name val="Microsoft YaHei"/>
      <b val="1"/>
      <color rgb="00FFFFFF"/>
      <sz val="10.5"/>
    </font>
    <font>
      <name val="Microsoft YaHei"/>
      <b val="1"/>
      <color rgb="001E2A38"/>
      <sz val="10"/>
    </font>
    <font>
      <name val="Microsoft YaHei"/>
      <color rgb="002B3440"/>
      <sz val="10"/>
    </font>
    <font>
      <name val="Consolas"/>
      <color rgb="0035414D"/>
      <sz val="9.5"/>
    </font>
    <font>
      <name val="Microsoft YaHei"/>
      <color rgb="004A5560"/>
      <sz val="9.5"/>
    </font>
    <font>
      <name val="Microsoft YaHei"/>
      <color rgb="0035414D"/>
      <sz val="10"/>
    </font>
    <font>
      <name val="Microsoft YaHei"/>
      <b val="1"/>
      <color rgb="002B3440"/>
      <sz val="10"/>
    </font>
    <font>
      <name val="Microsoft YaHei"/>
      <b val="1"/>
      <color rgb="009A2A22"/>
    </font>
    <font>
      <name val="Microsoft YaHei"/>
      <color rgb="007A8590"/>
      <sz val="9"/>
    </font>
    <font>
      <name val="Microsoft YaHei"/>
      <b val="1"/>
      <color rgb="008A5410"/>
    </font>
    <font>
      <name val="Microsoft YaHei"/>
      <b val="1"/>
      <color rgb="003B4652"/>
    </font>
    <font>
      <name val="Microsoft YaHei"/>
      <b val="1"/>
      <color rgb="00FFFFFF"/>
      <sz val="12"/>
    </font>
    <font>
      <name val="Microsoft YaHei"/>
      <color rgb="004A5560"/>
      <sz val="10"/>
    </font>
    <font>
      <name val="Microsoft YaHei"/>
      <color rgb="006A7580"/>
      <sz val="9.5"/>
    </font>
    <font>
      <name val="Microsoft YaHe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E7D6B"/>
      </patternFill>
    </fill>
    <fill>
      <patternFill patternType="solid">
        <fgColor rgb="001E2A38"/>
      </patternFill>
    </fill>
    <fill>
      <patternFill patternType="solid">
        <fgColor rgb="00E7F0EE"/>
      </patternFill>
    </fill>
    <fill>
      <patternFill patternType="solid">
        <fgColor rgb="00FBE3E1"/>
      </patternFill>
    </fill>
    <fill>
      <patternFill patternType="solid">
        <fgColor rgb="00FBEEDA"/>
      </patternFill>
    </fill>
    <fill>
      <patternFill patternType="solid">
        <fgColor rgb="00E9EEF6"/>
      </patternFill>
    </fill>
    <fill>
      <patternFill patternType="solid">
        <fgColor rgb="00F3EEE6"/>
      </patternFill>
    </fill>
    <fill>
      <patternFill patternType="solid">
        <fgColor rgb="00F0EAF2"/>
      </patternFill>
    </fill>
    <fill>
      <patternFill patternType="solid">
        <fgColor rgb="00EAF1F1"/>
      </patternFill>
    </fill>
    <fill>
      <patternFill patternType="solid">
        <fgColor rgb="00F1EFE9"/>
      </patternFill>
    </fill>
    <fill>
      <patternFill patternType="solid">
        <fgColor rgb="00ECEEF1"/>
      </patternFill>
    </fill>
  </fills>
  <borders count="2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6" customWidth="1" min="4" max="4"/>
    <col width="40" customWidth="1" min="5" max="5"/>
    <col width="24" customWidth="1" min="6" max="6"/>
    <col width="12" customWidth="1" min="7" max="7"/>
    <col width="34" customWidth="1" min="8" max="8"/>
    <col width="8" customWidth="1" min="9" max="9"/>
    <col width="10" customWidth="1" min="10" max="10"/>
    <col width="22" customWidth="1" min="11" max="11"/>
    <col width="22" customWidth="1" min="12" max="12"/>
  </cols>
  <sheetData>
    <row r="1" ht="28" customHeight="1">
      <c r="A1" s="1" t="inlineStr">
        <is>
          <t>TK 打品规则引擎 · 规则总表（技术需求）</t>
        </is>
      </c>
    </row>
    <row r="2" ht="30" customHeight="1">
      <c r="A2" s="2" t="inlineStr">
        <is>
          <t>说明：每一行 = 一条可上线的规则。触发逻辑中的中文字段名对应「字段字典」表；阈值均可配置，见「优先级与配置」表。TO-DO 文案中 {SKU}{N}{X}{D} 为运行时填充变量。</t>
        </is>
      </c>
    </row>
    <row r="3" ht="34" customHeight="1">
      <c r="A3" s="3" t="inlineStr">
        <is>
          <t>规则ID</t>
        </is>
      </c>
      <c r="B3" s="3" t="inlineStr">
        <is>
          <t>所属节点</t>
        </is>
      </c>
      <c r="C3" s="3" t="inlineStr">
        <is>
          <t>规则名称</t>
        </is>
      </c>
      <c r="D3" s="3" t="inlineStr">
        <is>
          <t>触发条件（业务）</t>
        </is>
      </c>
      <c r="E3" s="3" t="inlineStr">
        <is>
          <t>触发逻辑（字段级 / 伪代码）</t>
        </is>
      </c>
      <c r="F3" s="3" t="inlineStr">
        <is>
          <t>依赖数据字段</t>
        </is>
      </c>
      <c r="G3" s="3" t="inlineStr">
        <is>
          <t>责任角色</t>
        </is>
      </c>
      <c r="H3" s="3" t="inlineStr">
        <is>
          <t>生成的 TO-DO 文案（模板）</t>
        </is>
      </c>
      <c r="I3" s="3" t="inlineStr">
        <is>
          <t>优先级</t>
        </is>
      </c>
      <c r="J3" s="3" t="inlineStr">
        <is>
          <t>时限/SLA</t>
        </is>
      </c>
      <c r="K3" s="3" t="inlineStr">
        <is>
          <t>可配阈值</t>
        </is>
      </c>
      <c r="L3" s="3" t="inlineStr">
        <is>
          <t>对应纪要</t>
        </is>
      </c>
    </row>
    <row r="4" ht="52" customHeight="1">
      <c r="A4" s="4" t="inlineStr">
        <is>
          <t>R-A1</t>
        </is>
      </c>
      <c r="B4" s="5" t="inlineStr">
        <is>
          <t>到货节点</t>
        </is>
      </c>
      <c r="C4" s="6" t="inlineStr">
        <is>
          <t>到货投放断档</t>
        </is>
      </c>
      <c r="D4" s="7" t="inlineStr">
        <is>
          <t>到货后≥断档天数阈值，仍无挂车、无投放</t>
        </is>
      </c>
      <c r="E4" s="8" t="inlineStr">
        <is>
          <t>到货状态='已到货' AND (今日 − 到货日期) ≥ 断档天数阈值 AND 累计挂车数=0 AND 累计投放金额=0</t>
        </is>
      </c>
      <c r="F4" s="9" t="inlineStr">
        <is>
          <t>到货状态；到货日期；累计挂车数；累计投放金额</t>
        </is>
      </c>
      <c r="G4" s="10" t="inlineStr">
        <is>
          <t>运营</t>
        </is>
      </c>
      <c r="H4" s="11" t="inlineStr">
        <is>
          <t>【{SKU}】到货已 {N} 天仍无挂车/投放，24h 内完成挂车并排查断档原因</t>
        </is>
      </c>
      <c r="I4" s="12" t="inlineStr">
        <is>
          <t>P0</t>
        </is>
      </c>
      <c r="J4" s="10" t="inlineStr">
        <is>
          <t>24h</t>
        </is>
      </c>
      <c r="K4" s="9" t="inlineStr">
        <is>
          <t>断档天数阈值（默认 7）</t>
        </is>
      </c>
      <c r="L4" s="13" t="inlineStr">
        <is>
          <t>到货后1周内无挂车无投放</t>
        </is>
      </c>
    </row>
    <row r="5" ht="52" customHeight="1">
      <c r="A5" s="4" t="inlineStr">
        <is>
          <t>R-A2</t>
        </is>
      </c>
      <c r="B5" s="5" t="inlineStr">
        <is>
          <t>到货节点</t>
        </is>
      </c>
      <c r="C5" s="6" t="inlineStr">
        <is>
          <t>老素材流量未恢复</t>
        </is>
      </c>
      <c r="D5" s="7" t="inlineStr">
        <is>
          <t>补货到货后，老素材近3日流量未恢复到断货前的 X%</t>
        </is>
      </c>
      <c r="E5" s="8" t="inlineStr">
        <is>
          <t>到货状态='已到货' AND 断货前均流量&gt;0 AND (老素材近3日均流量 ÷ 断货前均流量) &lt; 恢复率阈值</t>
        </is>
      </c>
      <c r="F5" s="9" t="inlineStr">
        <is>
          <t>老素材近3日流量；断货前均流量</t>
        </is>
      </c>
      <c r="G5" s="10" t="inlineStr">
        <is>
          <t>运营 + 剪辑</t>
        </is>
      </c>
      <c r="H5" s="11" t="inlineStr">
        <is>
          <t>【{SKU}】老素材流量仅恢复 {X}%，核查素材有效性，研判是否补素材</t>
        </is>
      </c>
      <c r="I5" s="14" t="inlineStr">
        <is>
          <t>P1</t>
        </is>
      </c>
      <c r="J5" s="10" t="inlineStr">
        <is>
          <t>48h</t>
        </is>
      </c>
      <c r="K5" s="9" t="inlineStr">
        <is>
          <t>恢复率阈值（默认 60%）</t>
        </is>
      </c>
      <c r="L5" s="13" t="inlineStr">
        <is>
          <t>校验老素材流量恢复</t>
        </is>
      </c>
    </row>
    <row r="6" ht="52" customHeight="1">
      <c r="A6" s="4" t="inlineStr">
        <is>
          <t>R-A3</t>
        </is>
      </c>
      <c r="B6" s="5" t="inlineStr">
        <is>
          <t>到货节点</t>
        </is>
      </c>
      <c r="C6" s="6" t="inlineStr">
        <is>
          <t>到货节奏脱节</t>
        </is>
      </c>
      <c r="D6" s="7" t="inlineStr">
        <is>
          <t>实际首次挂车晚于预设推广启动日</t>
        </is>
      </c>
      <c r="E6" s="8" t="inlineStr">
        <is>
          <t>首次挂车日期 &gt; 预设推广启动日 + 缓冲天数</t>
        </is>
      </c>
      <c r="F6" s="9" t="inlineStr">
        <is>
          <t>首次挂车日期；预设推广启动日</t>
        </is>
      </c>
      <c r="G6" s="10" t="inlineStr">
        <is>
          <t>运营</t>
        </is>
      </c>
      <c r="H6" s="11" t="inlineStr">
        <is>
          <t>【{SKU}】首次挂车晚于计划 {D} 天，排查节奏脱节原因</t>
        </is>
      </c>
      <c r="I6" s="14" t="inlineStr">
        <is>
          <t>P1</t>
        </is>
      </c>
      <c r="J6" s="10" t="inlineStr">
        <is>
          <t>24h</t>
        </is>
      </c>
      <c r="K6" s="9" t="inlineStr">
        <is>
          <t>缓冲天数（默认 1）</t>
        </is>
      </c>
      <c r="L6" s="13" t="inlineStr">
        <is>
          <t>节奏匹配校验</t>
        </is>
      </c>
    </row>
    <row r="7" ht="52" customHeight="1">
      <c r="A7" s="4" t="inlineStr">
        <is>
          <t>R-S1</t>
        </is>
      </c>
      <c r="B7" s="15" t="inlineStr">
        <is>
          <t>放量节点</t>
        </is>
      </c>
      <c r="C7" s="6" t="inlineStr">
        <is>
          <t>放量机会识别</t>
        </is>
      </c>
      <c r="D7" s="7" t="inlineStr">
        <is>
          <t>当前渠道 ROI 连续 N 天正向且日销未下滑</t>
        </is>
      </c>
      <c r="E7" s="8" t="inlineStr">
        <is>
          <t>当前渠道='剪辑' AND ROI近N日均值 ≥ 目标ROI AND 近N日日销环比 ≥ 0</t>
        </is>
      </c>
      <c r="F7" s="9" t="inlineStr">
        <is>
          <t>ROI；日销量；当前渠道</t>
        </is>
      </c>
      <c r="G7" s="10" t="inlineStr">
        <is>
          <t>运营</t>
        </is>
      </c>
      <c r="H7" s="11" t="inlineStr">
        <is>
          <t>【{SKU}】已连续 {N} 天正向 ROI，评估放量空间，提交下一级渠道（商务/直播）申请</t>
        </is>
      </c>
      <c r="I7" s="14" t="inlineStr">
        <is>
          <t>P1</t>
        </is>
      </c>
      <c r="J7" s="10" t="inlineStr">
        <is>
          <t>当日</t>
        </is>
      </c>
      <c r="K7" s="9" t="inlineStr">
        <is>
          <t>正向天数（默认 3）；目标ROI（按品类）</t>
        </is>
      </c>
      <c r="L7" s="13" t="inlineStr">
        <is>
          <t>跑通正向ROI启动下一级渠道</t>
        </is>
      </c>
    </row>
    <row r="8" ht="52" customHeight="1">
      <c r="A8" s="4" t="inlineStr">
        <is>
          <t>R-S2</t>
        </is>
      </c>
      <c r="B8" s="15" t="inlineStr">
        <is>
          <t>放量节点</t>
        </is>
      </c>
      <c r="C8" s="6" t="inlineStr">
        <is>
          <t>放量前置校验（拦截）</t>
        </is>
      </c>
      <c r="D8" s="7" t="inlineStr">
        <is>
          <t>拟放量品库存 &lt; 1个月 或 已进入衰退期</t>
        </is>
      </c>
      <c r="E8" s="8" t="inlineStr">
        <is>
          <t>触发放量申请 AND (库存可支撑天数 &lt; 放量周期阈值 OR 生命周期阶段='衰退')</t>
        </is>
      </c>
      <c r="F8" s="9" t="inlineStr">
        <is>
          <t>库存可支撑天数；生命周期阶段</t>
        </is>
      </c>
      <c r="G8" s="10" t="inlineStr">
        <is>
          <t>运营 + 供应链</t>
        </is>
      </c>
      <c r="H8" s="11" t="inlineStr">
        <is>
          <t>【{SKU}】放量前库存仅支撑 {D} 天/或已衰退，先补货或暂缓放量</t>
        </is>
      </c>
      <c r="I8" s="12" t="inlineStr">
        <is>
          <t>P0</t>
        </is>
      </c>
      <c r="J8" s="10" t="inlineStr">
        <is>
          <t>当日</t>
        </is>
      </c>
      <c r="K8" s="9" t="inlineStr">
        <is>
          <t>放量周期阈值（默认 30 天）</t>
        </is>
      </c>
      <c r="L8" s="13" t="inlineStr">
        <is>
          <t>库存深度≥1个月 / 风险前置校验</t>
        </is>
      </c>
    </row>
    <row r="9" ht="52" customHeight="1">
      <c r="A9" s="4" t="inlineStr">
        <is>
          <t>R-B1</t>
        </is>
      </c>
      <c r="B9" s="16" t="inlineStr">
        <is>
          <t>备货节点</t>
        </is>
      </c>
      <c r="C9" s="6" t="inlineStr">
        <is>
          <t>备货触发（防断货）</t>
        </is>
      </c>
      <c r="D9" s="7" t="inlineStr">
        <is>
          <t>日销稳定在触发区间，且当前仅浅度测试</t>
        </is>
      </c>
      <c r="E9" s="8" t="inlineStr">
        <is>
          <t>近7日日销均值 ∈ [下限,上限] AND 生命周期阶段 ∈ {测试, 放量初期} AND 备货状态='未备货'</t>
        </is>
      </c>
      <c r="F9" s="9" t="inlineStr">
        <is>
          <t>日销量；生命周期阶段；备货状态</t>
        </is>
      </c>
      <c r="G9" s="10" t="inlineStr">
        <is>
          <t>运营</t>
        </is>
      </c>
      <c r="H9" s="11" t="inlineStr">
        <is>
          <t>【{SKU}】日销稳定 {X} 单进入放量前夜，启动备货测算防断货</t>
        </is>
      </c>
      <c r="I9" s="12" t="inlineStr">
        <is>
          <t>P0</t>
        </is>
      </c>
      <c r="J9" s="10" t="inlineStr">
        <is>
          <t>48h</t>
        </is>
      </c>
      <c r="K9" s="9" t="inlineStr">
        <is>
          <t>日销触发区间（默认 15–20）</t>
        </is>
      </c>
      <c r="L9" s="13" t="inlineStr">
        <is>
          <t>日销15-20单启动备货</t>
        </is>
      </c>
    </row>
    <row r="10" ht="52" customHeight="1">
      <c r="A10" s="4" t="inlineStr">
        <is>
          <t>R-B2</t>
        </is>
      </c>
      <c r="B10" s="16" t="inlineStr">
        <is>
          <t>备货节点</t>
        </is>
      </c>
      <c r="C10" s="6" t="inlineStr">
        <is>
          <t>断货风险预警</t>
        </is>
      </c>
      <c r="D10" s="7" t="inlineStr">
        <is>
          <t>库存可支撑天数 &lt; 补货周期 + 安全天数</t>
        </is>
      </c>
      <c r="E10" s="8" t="inlineStr">
        <is>
          <t>库存可支撑天数 &lt; (补货 LeadTime + 安全库存天数)</t>
        </is>
      </c>
      <c r="F10" s="9" t="inlineStr">
        <is>
          <t>库存量；近7日均日销；补货LeadTime</t>
        </is>
      </c>
      <c r="G10" s="10" t="inlineStr">
        <is>
          <t>运营 + 供应链</t>
        </is>
      </c>
      <c r="H10" s="11" t="inlineStr">
        <is>
          <t>【{SKU}】库存仅支撑 {D} 天 &lt; 补货周期，立即追单</t>
        </is>
      </c>
      <c r="I10" s="12" t="inlineStr">
        <is>
          <t>P0</t>
        </is>
      </c>
      <c r="J10" s="10" t="inlineStr">
        <is>
          <t>24h</t>
        </is>
      </c>
      <c r="K10" s="9" t="inlineStr">
        <is>
          <t>安全库存天数（默认 7）</t>
        </is>
      </c>
      <c r="L10" s="13" t="inlineStr">
        <is>
          <t>断货复盘</t>
        </is>
      </c>
    </row>
    <row r="11" ht="52" customHeight="1">
      <c r="A11" s="4" t="inlineStr">
        <is>
          <t>R-B3</t>
        </is>
      </c>
      <c r="B11" s="16" t="inlineStr">
        <is>
          <t>备货节点</t>
        </is>
      </c>
      <c r="C11" s="6" t="inlineStr">
        <is>
          <t>秋冬款海外仓布局</t>
        </is>
      </c>
      <c r="D11" s="7" t="inlineStr">
        <is>
          <t>秋冬款进入放量期，且海外仓占比 &lt; 目标</t>
        </is>
      </c>
      <c r="E11" s="8" t="inlineStr">
        <is>
          <t>季节属性='秋冬款' AND 生命周期阶段 ∈ {放量,成熟} AND 海外仓占比 &lt; 海外仓目标占比</t>
        </is>
      </c>
      <c r="F11" s="9" t="inlineStr">
        <is>
          <t>季节属性；生命周期阶段；海外仓占比</t>
        </is>
      </c>
      <c r="G11" s="10" t="inlineStr">
        <is>
          <t>运营</t>
        </is>
      </c>
      <c r="H11" s="11" t="inlineStr">
        <is>
          <t>【{SKU}】秋冬款海外仓占比 {X}% &lt; 90%，测算 FBT 备货量提前入仓</t>
        </is>
      </c>
      <c r="I11" s="14" t="inlineStr">
        <is>
          <t>P1</t>
        </is>
      </c>
      <c r="J11" s="10" t="inlineStr">
        <is>
          <t>3天</t>
        </is>
      </c>
      <c r="K11" s="9" t="inlineStr">
        <is>
          <t>海外仓目标占比（默认 90%）</t>
        </is>
      </c>
      <c r="L11" s="13" t="inlineStr">
        <is>
          <t>秋冬款测算FBT，海外仓占比升至90%</t>
        </is>
      </c>
    </row>
    <row r="12" ht="52" customHeight="1">
      <c r="A12" s="4" t="inlineStr">
        <is>
          <t>R-B4</t>
        </is>
      </c>
      <c r="B12" s="16" t="inlineStr">
        <is>
          <t>备货节点</t>
        </is>
      </c>
      <c r="C12" s="6" t="inlineStr">
        <is>
          <t>备货方向路由</t>
        </is>
      </c>
      <c r="D12" s="7" t="inlineStr">
        <is>
          <t>触发备货时，按季节属性自动分仓</t>
        </is>
      </c>
      <c r="E12" s="8" t="inlineStr">
        <is>
          <t>触发备货 → IF 季节属性='夏季款' THEN 方向=本地仓 ELIF '秋冬款' THEN 方向=FBT海外仓</t>
        </is>
      </c>
      <c r="F12" s="9" t="inlineStr">
        <is>
          <t>季节属性</t>
        </is>
      </c>
      <c r="G12" s="10" t="inlineStr">
        <is>
          <t>运营</t>
        </is>
      </c>
      <c r="H12" s="11" t="inlineStr">
        <is>
          <t>【{SKU}】备货方向：{本地仓 / 海外仓}</t>
        </is>
      </c>
      <c r="I12" s="14" t="inlineStr">
        <is>
          <t>P1</t>
        </is>
      </c>
      <c r="J12" s="10" t="inlineStr">
        <is>
          <t>随备货</t>
        </is>
      </c>
      <c r="K12" s="9" t="inlineStr">
        <is>
          <t>—</t>
        </is>
      </c>
      <c r="L12" s="13" t="inlineStr">
        <is>
          <t>夏季款本地仓，秋冬款海外仓</t>
        </is>
      </c>
    </row>
    <row r="13" ht="52" customHeight="1">
      <c r="A13" s="4" t="inlineStr">
        <is>
          <t>R-C1</t>
        </is>
      </c>
      <c r="B13" s="17" t="inlineStr">
        <is>
          <t>跨节点协同</t>
        </is>
      </c>
      <c r="C13" s="6" t="inlineStr">
        <is>
          <t>协同进度提前校验</t>
        </is>
      </c>
      <c r="D13" s="7" t="inlineStr">
        <is>
          <t>跨部门节点距计划日 ≤3天 且 进度 &lt;100%</t>
        </is>
      </c>
      <c r="E13" s="8" t="inlineStr">
        <is>
          <t>节点类型='跨部门' AND (节点计划日 − 今日) ≤ 提前校验天数 AND 节点进度 &lt; 100%</t>
        </is>
      </c>
      <c r="F13" s="9" t="inlineStr">
        <is>
          <t>节点类型；节点计划日；节点进度</t>
        </is>
      </c>
      <c r="G13" s="10" t="inlineStr">
        <is>
          <t>节点 owner</t>
        </is>
      </c>
      <c r="H13" s="11" t="inlineStr">
        <is>
          <t>【{节点}】距计划日 {D} 天进度 {X}%，立即协调资源补位</t>
        </is>
      </c>
      <c r="I13" s="12" t="inlineStr">
        <is>
          <t>P0</t>
        </is>
      </c>
      <c r="J13" s="10" t="inlineStr">
        <is>
          <t>当日</t>
        </is>
      </c>
      <c r="K13" s="9" t="inlineStr">
        <is>
          <t>提前校验天数（默认 3）</t>
        </is>
      </c>
      <c r="L13" s="13" t="inlineStr">
        <is>
          <t>提前3天校验 / 达人寄样</t>
        </is>
      </c>
    </row>
    <row r="14" ht="52" customHeight="1">
      <c r="A14" s="4" t="inlineStr">
        <is>
          <t>R-D1</t>
        </is>
      </c>
      <c r="B14" s="18" t="inlineStr">
        <is>
          <t>日常监控</t>
        </is>
      </c>
      <c r="C14" s="6" t="inlineStr">
        <is>
          <t>异常波动预警</t>
        </is>
      </c>
      <c r="D14" s="7" t="inlineStr">
        <is>
          <t>日销 / ROI 较近3日出现异常波动</t>
        </is>
      </c>
      <c r="E14" s="8" t="inlineStr">
        <is>
          <t>|今日日销 − 近3日均值| ÷ 近3日均值 &gt; 波动阈值（ROI 同理）</t>
        </is>
      </c>
      <c r="F14" s="9" t="inlineStr">
        <is>
          <t>日销量；ROI</t>
        </is>
      </c>
      <c r="G14" s="10" t="inlineStr">
        <is>
          <t>运营</t>
        </is>
      </c>
      <c r="H14" s="11" t="inlineStr">
        <is>
          <t>【{SKU}】日销异常 {±X}%，优先排查库存/断码 与 广告预算</t>
        </is>
      </c>
      <c r="I14" s="14" t="inlineStr">
        <is>
          <t>P1</t>
        </is>
      </c>
      <c r="J14" s="10" t="inlineStr">
        <is>
          <t>当日</t>
        </is>
      </c>
      <c r="K14" s="9" t="inlineStr">
        <is>
          <t>波动阈值（默认 30%）</t>
        </is>
      </c>
      <c r="L14" s="13" t="inlineStr">
        <is>
          <t>每日对比，异常先查库存广告</t>
        </is>
      </c>
    </row>
    <row r="15" ht="52" customHeight="1">
      <c r="A15" s="4" t="inlineStr">
        <is>
          <t>R-D2</t>
        </is>
      </c>
      <c r="B15" s="18" t="inlineStr">
        <is>
          <t>日常监控</t>
        </is>
      </c>
      <c r="C15" s="6" t="inlineStr">
        <is>
          <t>爆量低备货</t>
        </is>
      </c>
      <c r="D15" s="7" t="inlineStr">
        <is>
          <t>日销骤增，但库存支撑天数低</t>
        </is>
      </c>
      <c r="E15" s="8" t="inlineStr">
        <is>
          <t>日销环比 &gt; 骤增阈值 AND 库存可支撑天数 &lt; 爆量预警天数</t>
        </is>
      </c>
      <c r="F15" s="9" t="inlineStr">
        <is>
          <t>日销量；库存可支撑天数</t>
        </is>
      </c>
      <c r="G15" s="10" t="inlineStr">
        <is>
          <t>运营</t>
        </is>
      </c>
      <c r="H15" s="11" t="inlineStr">
        <is>
          <t>【{SKU}】爆量但库存仅 {D} 天，快速研判追单 + 备货</t>
        </is>
      </c>
      <c r="I15" s="12" t="inlineStr">
        <is>
          <t>P0</t>
        </is>
      </c>
      <c r="J15" s="10" t="inlineStr">
        <is>
          <t>24h</t>
        </is>
      </c>
      <c r="K15" s="9" t="inlineStr">
        <is>
          <t>骤增阈值（默认 +50%）；预警天数（默认 14）</t>
        </is>
      </c>
      <c r="L15" s="13" t="inlineStr">
        <is>
          <t>爆量低备货快速研判追单</t>
        </is>
      </c>
    </row>
    <row r="16" ht="52" customHeight="1">
      <c r="A16" s="4" t="inlineStr">
        <is>
          <t>R-M1</t>
        </is>
      </c>
      <c r="B16" s="19" t="inlineStr">
        <is>
          <t>月度规划</t>
        </is>
      </c>
      <c r="C16" s="6" t="inlineStr">
        <is>
          <t>月末四模块生成</t>
        </is>
      </c>
      <c r="D16" s="7" t="inlineStr">
        <is>
          <t>每月月末定时触发次月规划</t>
        </is>
      </c>
      <c r="E16" s="8" t="inlineStr">
        <is>
          <t>定时触发（每月 月末触发日）</t>
        </is>
      </c>
      <c r="F16" s="9" t="inlineStr">
        <is>
          <t>—</t>
        </is>
      </c>
      <c r="G16" s="10" t="inlineStr">
        <is>
          <t>运营主管</t>
        </is>
      </c>
      <c r="H16" s="11" t="inlineStr">
        <is>
          <t>生成次月规划：①爆品供素材 ②潜力品放量 ③新品出货进度 ④失败品回溯</t>
        </is>
      </c>
      <c r="I16" s="14" t="inlineStr">
        <is>
          <t>P1</t>
        </is>
      </c>
      <c r="J16" s="10" t="inlineStr">
        <is>
          <t>月度</t>
        </is>
      </c>
      <c r="K16" s="9" t="inlineStr">
        <is>
          <t>月末触发日（默认 26 号）</t>
        </is>
      </c>
      <c r="L16" s="13" t="inlineStr">
        <is>
          <t>月末四模块</t>
        </is>
      </c>
    </row>
    <row r="17" ht="52" customHeight="1">
      <c r="A17" s="4" t="inlineStr">
        <is>
          <t>R-M2</t>
        </is>
      </c>
      <c r="B17" s="19" t="inlineStr">
        <is>
          <t>月度规划</t>
        </is>
      </c>
      <c r="C17" s="6" t="inlineStr">
        <is>
          <t>失败品回溯</t>
        </is>
      </c>
      <c r="D17" s="7" t="inlineStr">
        <is>
          <t>曾推失败品临近适配季节节点且未复盘</t>
        </is>
      </c>
      <c r="E17" s="8" t="inlineStr">
        <is>
          <t>失败标签='推品失败' AND 存在临近季节节点 AND 复盘状态='未复盘'</t>
        </is>
      </c>
      <c r="F17" s="9" t="inlineStr">
        <is>
          <t>失败标签；季节节点；复盘状态</t>
        </is>
      </c>
      <c r="G17" s="10" t="inlineStr">
        <is>
          <t>运营</t>
        </is>
      </c>
      <c r="H17" s="11" t="inlineStr">
        <is>
          <t>【{SKU}】从推广资源/素材能力/时间节点 三维度复盘，研判是否重推</t>
        </is>
      </c>
      <c r="I17" s="20" t="inlineStr">
        <is>
          <t>P2</t>
        </is>
      </c>
      <c r="J17" s="10" t="inlineStr">
        <is>
          <t>月度</t>
        </is>
      </c>
      <c r="K17" s="9" t="inlineStr">
        <is>
          <t>—</t>
        </is>
      </c>
      <c r="L17" s="13" t="inlineStr">
        <is>
          <t>洗水卫衣返校季复盘</t>
        </is>
      </c>
    </row>
    <row r="18" ht="52" customHeight="1">
      <c r="A18" s="4" t="inlineStr">
        <is>
          <t>R-M3</t>
        </is>
      </c>
      <c r="B18" s="19" t="inlineStr">
        <is>
          <t>月度规划</t>
        </is>
      </c>
      <c r="C18" s="6" t="inlineStr">
        <is>
          <t>新品出货进度校验</t>
        </is>
      </c>
      <c r="D18" s="7" t="inlineStr">
        <is>
          <t>待上架新品出货进度滞后</t>
        </is>
      </c>
      <c r="E18" s="8" t="inlineStr">
        <is>
          <t>新品状态='待上架' AND 出货进度 &lt; 计划进度</t>
        </is>
      </c>
      <c r="F18" s="9" t="inlineStr">
        <is>
          <t>新品状态；出货进度；计划进度</t>
        </is>
      </c>
      <c r="G18" s="10" t="inlineStr">
        <is>
          <t>运营 + 供应链</t>
        </is>
      </c>
      <c r="H18" s="11" t="inlineStr">
        <is>
          <t>【{SKU}】出货进度 {X}% 滞后，校验并催进，避免上架延误</t>
        </is>
      </c>
      <c r="I18" s="14" t="inlineStr">
        <is>
          <t>P1</t>
        </is>
      </c>
      <c r="J18" s="10" t="inlineStr">
        <is>
          <t>月度</t>
        </is>
      </c>
      <c r="K18" s="9" t="inlineStr">
        <is>
          <t>—</t>
        </is>
      </c>
      <c r="L18" s="13" t="inlineStr">
        <is>
          <t>新增待上架新品出货校验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30" customWidth="1" min="4" max="4"/>
    <col width="30" customWidth="1" min="5" max="5"/>
  </cols>
  <sheetData>
    <row r="1" ht="26" customHeight="1">
      <c r="A1" s="21" t="inlineStr">
        <is>
          <t>字段字典 · 规则引擎依赖的数据字段</t>
        </is>
      </c>
    </row>
    <row r="2" ht="28" customHeight="1">
      <c r="A2" s="3" t="inlineStr">
        <is>
          <t>数据字段</t>
        </is>
      </c>
      <c r="B2" s="3" t="inlineStr">
        <is>
          <t>含义</t>
        </is>
      </c>
      <c r="C2" s="3" t="inlineStr">
        <is>
          <t>类型 / 单位</t>
        </is>
      </c>
      <c r="D2" s="3" t="inlineStr">
        <is>
          <t>来源系统 / 计算方式</t>
        </is>
      </c>
      <c r="E2" s="3" t="inlineStr">
        <is>
          <t>枚举值 / 备注</t>
        </is>
      </c>
    </row>
    <row r="3" ht="26" customHeight="1">
      <c r="A3" s="6" t="inlineStr">
        <is>
          <t>SKU / SPU 编号</t>
        </is>
      </c>
      <c r="B3" s="7" t="inlineStr">
        <is>
          <t>商品唯一标识</t>
        </is>
      </c>
      <c r="C3" s="22" t="inlineStr">
        <is>
          <t>文本</t>
        </is>
      </c>
      <c r="D3" s="9" t="inlineStr">
        <is>
          <t>商品主数据</t>
        </is>
      </c>
      <c r="E3" s="23" t="inlineStr">
        <is>
          <t>例：6678、0575</t>
        </is>
      </c>
    </row>
    <row r="4" ht="26" customHeight="1">
      <c r="A4" s="6" t="inlineStr">
        <is>
          <t>季节属性</t>
        </is>
      </c>
      <c r="B4" s="7" t="inlineStr">
        <is>
          <t>季节归类，决定备货方向</t>
        </is>
      </c>
      <c r="C4" s="22" t="inlineStr">
        <is>
          <t>枚举</t>
        </is>
      </c>
      <c r="D4" s="9" t="inlineStr">
        <is>
          <t>商品标签</t>
        </is>
      </c>
      <c r="E4" s="23" t="inlineStr">
        <is>
          <t>夏季款 / 秋冬款 / 四季款</t>
        </is>
      </c>
    </row>
    <row r="5" ht="26" customHeight="1">
      <c r="A5" s="6" t="inlineStr">
        <is>
          <t>品类</t>
        </is>
      </c>
      <c r="B5" s="7" t="inlineStr">
        <is>
          <t>商品类目</t>
        </is>
      </c>
      <c r="C5" s="22" t="inlineStr">
        <is>
          <t>枚举</t>
        </is>
      </c>
      <c r="D5" s="9" t="inlineStr">
        <is>
          <t>商品主数据</t>
        </is>
      </c>
      <c r="E5" s="23" t="inlineStr">
        <is>
          <t>卫衣、T恤 等</t>
        </is>
      </c>
    </row>
    <row r="6" ht="26" customHeight="1">
      <c r="A6" s="6" t="inlineStr">
        <is>
          <t>生命周期阶段</t>
        </is>
      </c>
      <c r="B6" s="7" t="inlineStr">
        <is>
          <t>单品所处阶段</t>
        </is>
      </c>
      <c r="C6" s="22" t="inlineStr">
        <is>
          <t>枚举</t>
        </is>
      </c>
      <c r="D6" s="9" t="inlineStr">
        <is>
          <t>规则派生 + 人工</t>
        </is>
      </c>
      <c r="E6" s="23" t="inlineStr">
        <is>
          <t>新品 / 测试 / 放量 / 成熟 / 衰退</t>
        </is>
      </c>
    </row>
    <row r="7" ht="26" customHeight="1">
      <c r="A7" s="6" t="inlineStr">
        <is>
          <t>到货状态</t>
        </is>
      </c>
      <c r="B7" s="7" t="inlineStr">
        <is>
          <t>补货履约状态</t>
        </is>
      </c>
      <c r="C7" s="22" t="inlineStr">
        <is>
          <t>枚举</t>
        </is>
      </c>
      <c r="D7" s="9" t="inlineStr">
        <is>
          <t>履约系统</t>
        </is>
      </c>
      <c r="E7" s="23" t="inlineStr">
        <is>
          <t>未到货 / 在途 / 已到货</t>
        </is>
      </c>
    </row>
    <row r="8" ht="26" customHeight="1">
      <c r="A8" s="6" t="inlineStr">
        <is>
          <t>到货日期</t>
        </is>
      </c>
      <c r="B8" s="7" t="inlineStr">
        <is>
          <t>最近一次到货日</t>
        </is>
      </c>
      <c r="C8" s="22" t="inlineStr">
        <is>
          <t>日期</t>
        </is>
      </c>
      <c r="D8" s="9" t="inlineStr">
        <is>
          <t>履约系统</t>
        </is>
      </c>
      <c r="E8" s="23" t="inlineStr">
        <is>
          <t>—</t>
        </is>
      </c>
    </row>
    <row r="9" ht="26" customHeight="1">
      <c r="A9" s="6" t="inlineStr">
        <is>
          <t>累计挂车数</t>
        </is>
      </c>
      <c r="B9" s="7" t="inlineStr">
        <is>
          <t>被达人挂车次数</t>
        </is>
      </c>
      <c r="C9" s="22" t="inlineStr">
        <is>
          <t>整数</t>
        </is>
      </c>
      <c r="D9" s="9" t="inlineStr">
        <is>
          <t>达人 / 投放系统</t>
        </is>
      </c>
      <c r="E9" s="23">
        <f>0 表示无挂车</f>
        <v/>
      </c>
    </row>
    <row r="10" ht="26" customHeight="1">
      <c r="A10" s="6" t="inlineStr">
        <is>
          <t>累计投放金额</t>
        </is>
      </c>
      <c r="B10" s="7" t="inlineStr">
        <is>
          <t>广告累计花费</t>
        </is>
      </c>
      <c r="C10" s="22" t="inlineStr">
        <is>
          <t>金额</t>
        </is>
      </c>
      <c r="D10" s="9" t="inlineStr">
        <is>
          <t>广告系统</t>
        </is>
      </c>
      <c r="E10" s="23" t="inlineStr">
        <is>
          <t>—</t>
        </is>
      </c>
    </row>
    <row r="11" ht="26" customHeight="1">
      <c r="A11" s="6" t="inlineStr">
        <is>
          <t>首次挂车日期</t>
        </is>
      </c>
      <c r="B11" s="7" t="inlineStr">
        <is>
          <t>首个挂车时间</t>
        </is>
      </c>
      <c r="C11" s="22" t="inlineStr">
        <is>
          <t>日期</t>
        </is>
      </c>
      <c r="D11" s="9" t="inlineStr">
        <is>
          <t>投放系统</t>
        </is>
      </c>
      <c r="E11" s="23" t="inlineStr">
        <is>
          <t>用于节奏校验</t>
        </is>
      </c>
    </row>
    <row r="12" ht="26" customHeight="1">
      <c r="A12" s="6" t="inlineStr">
        <is>
          <t>预设推广启动日</t>
        </is>
      </c>
      <c r="B12" s="7" t="inlineStr">
        <is>
          <t>计划推广开始日</t>
        </is>
      </c>
      <c r="C12" s="22" t="inlineStr">
        <is>
          <t>日期</t>
        </is>
      </c>
      <c r="D12" s="9" t="inlineStr">
        <is>
          <t>运营规划</t>
        </is>
      </c>
      <c r="E12" s="23" t="inlineStr">
        <is>
          <t>月度计划录入</t>
        </is>
      </c>
    </row>
    <row r="13" ht="26" customHeight="1">
      <c r="A13" s="6" t="inlineStr">
        <is>
          <t>日销量</t>
        </is>
      </c>
      <c r="B13" s="7" t="inlineStr">
        <is>
          <t>单日成交件数</t>
        </is>
      </c>
      <c r="C13" s="22" t="inlineStr">
        <is>
          <t>整数</t>
        </is>
      </c>
      <c r="D13" s="9" t="inlineStr">
        <is>
          <t>交易系统</t>
        </is>
      </c>
      <c r="E13" s="23" t="inlineStr">
        <is>
          <t>—</t>
        </is>
      </c>
    </row>
    <row r="14" ht="26" customHeight="1">
      <c r="A14" s="6" t="inlineStr">
        <is>
          <t>近N日日销均值</t>
        </is>
      </c>
      <c r="B14" s="7" t="inlineStr">
        <is>
          <t>滚动窗口均值</t>
        </is>
      </c>
      <c r="C14" s="22" t="inlineStr">
        <is>
          <t>计算（派生）</t>
        </is>
      </c>
      <c r="D14" s="9">
        <f> AVG(近N日 日销量)</f>
        <v/>
      </c>
      <c r="E14" s="23" t="inlineStr">
        <is>
          <t>N 默认 7</t>
        </is>
      </c>
    </row>
    <row r="15" ht="26" customHeight="1">
      <c r="A15" s="6" t="inlineStr">
        <is>
          <t>日销环比</t>
        </is>
      </c>
      <c r="B15" s="7" t="inlineStr">
        <is>
          <t>增速信号</t>
        </is>
      </c>
      <c r="C15" s="22" t="inlineStr">
        <is>
          <t>计算（派生）</t>
        </is>
      </c>
      <c r="D15" s="9">
        <f>(今日 − 昨日) ÷ 昨日</f>
        <v/>
      </c>
      <c r="E15" s="23" t="inlineStr">
        <is>
          <t>—</t>
        </is>
      </c>
    </row>
    <row r="16" ht="26" customHeight="1">
      <c r="A16" s="6" t="inlineStr">
        <is>
          <t>ROI</t>
        </is>
      </c>
      <c r="B16" s="7" t="inlineStr">
        <is>
          <t>投产比</t>
        </is>
      </c>
      <c r="C16" s="22" t="inlineStr">
        <is>
          <t>计算</t>
        </is>
      </c>
      <c r="D16" s="9">
        <f> 交易额 ÷ 广告花费</f>
        <v/>
      </c>
      <c r="E16" s="23" t="inlineStr">
        <is>
          <t>按渠道 / 近N日</t>
        </is>
      </c>
    </row>
    <row r="17" ht="26" customHeight="1">
      <c r="A17" s="6" t="inlineStr">
        <is>
          <t>目标ROI</t>
        </is>
      </c>
      <c r="B17" s="7" t="inlineStr">
        <is>
          <t>盈亏平衡阈值</t>
        </is>
      </c>
      <c r="C17" s="22" t="inlineStr">
        <is>
          <t>配置</t>
        </is>
      </c>
      <c r="D17" s="9" t="inlineStr">
        <is>
          <t>运营配置</t>
        </is>
      </c>
      <c r="E17" s="23" t="inlineStr">
        <is>
          <t>按品类可配</t>
        </is>
      </c>
    </row>
    <row r="18" ht="26" customHeight="1">
      <c r="A18" s="6" t="inlineStr">
        <is>
          <t>库存量</t>
        </is>
      </c>
      <c r="B18" s="7" t="inlineStr">
        <is>
          <t>可售库存（分仓）</t>
        </is>
      </c>
      <c r="C18" s="22" t="inlineStr">
        <is>
          <t>整数</t>
        </is>
      </c>
      <c r="D18" s="9" t="inlineStr">
        <is>
          <t>库存系统</t>
        </is>
      </c>
      <c r="E18" s="23" t="inlineStr">
        <is>
          <t>本地仓 / 海外仓 分别记</t>
        </is>
      </c>
    </row>
    <row r="19" ht="26" customHeight="1">
      <c r="A19" s="6" t="inlineStr">
        <is>
          <t>库存可支撑天数</t>
        </is>
      </c>
      <c r="B19" s="7" t="inlineStr">
        <is>
          <t>断货预警核心指标</t>
        </is>
      </c>
      <c r="C19" s="22" t="inlineStr">
        <is>
          <t>计算（派生）</t>
        </is>
      </c>
      <c r="D19" s="9">
        <f> 可售库存 ÷ 近7日均日销</f>
        <v/>
      </c>
      <c r="E19" s="23" t="inlineStr">
        <is>
          <t>—</t>
        </is>
      </c>
    </row>
    <row r="20" ht="26" customHeight="1">
      <c r="A20" s="6" t="inlineStr">
        <is>
          <t>补货 LeadTime</t>
        </is>
      </c>
      <c r="B20" s="7" t="inlineStr">
        <is>
          <t>补货到仓周期</t>
        </is>
      </c>
      <c r="C20" s="22" t="inlineStr">
        <is>
          <t>天</t>
        </is>
      </c>
      <c r="D20" s="9" t="inlineStr">
        <is>
          <t>供应链</t>
        </is>
      </c>
      <c r="E20" s="23" t="inlineStr">
        <is>
          <t>按供应商可配</t>
        </is>
      </c>
    </row>
    <row r="21" ht="26" customHeight="1">
      <c r="A21" s="6" t="inlineStr">
        <is>
          <t>安全库存天数</t>
        </is>
      </c>
      <c r="B21" s="7" t="inlineStr">
        <is>
          <t>缓冲天数</t>
        </is>
      </c>
      <c r="C21" s="22" t="inlineStr">
        <is>
          <t>配置</t>
        </is>
      </c>
      <c r="D21" s="9" t="inlineStr">
        <is>
          <t>供应链</t>
        </is>
      </c>
      <c r="E21" s="23" t="inlineStr">
        <is>
          <t>默认 7</t>
        </is>
      </c>
    </row>
    <row r="22" ht="26" customHeight="1">
      <c r="A22" s="6" t="inlineStr">
        <is>
          <t>海外仓占比</t>
        </is>
      </c>
      <c r="B22" s="7" t="inlineStr">
        <is>
          <t>FBT 布局指标</t>
        </is>
      </c>
      <c r="C22" s="22" t="inlineStr">
        <is>
          <t>计算（派生）</t>
        </is>
      </c>
      <c r="D22" s="9">
        <f> 海外仓库存 ÷ 总库存</f>
        <v/>
      </c>
      <c r="E22" s="23" t="inlineStr">
        <is>
          <t>目标 90%</t>
        </is>
      </c>
    </row>
    <row r="23" ht="26" customHeight="1">
      <c r="A23" s="6" t="inlineStr">
        <is>
          <t>备货状态</t>
        </is>
      </c>
      <c r="B23" s="7" t="inlineStr">
        <is>
          <t>备货进度</t>
        </is>
      </c>
      <c r="C23" s="22" t="inlineStr">
        <is>
          <t>枚举</t>
        </is>
      </c>
      <c r="D23" s="9" t="inlineStr">
        <is>
          <t>供应链</t>
        </is>
      </c>
      <c r="E23" s="23" t="inlineStr">
        <is>
          <t>未备货 / 备货中 / 已备货</t>
        </is>
      </c>
    </row>
    <row r="24" ht="26" customHeight="1">
      <c r="A24" s="6" t="inlineStr">
        <is>
          <t>老素材近3日流量</t>
        </is>
      </c>
      <c r="B24" s="7" t="inlineStr">
        <is>
          <t>素材恢复判断</t>
        </is>
      </c>
      <c r="C24" s="22" t="inlineStr">
        <is>
          <t>计算</t>
        </is>
      </c>
      <c r="D24" s="9" t="inlineStr">
        <is>
          <t>素材系统</t>
        </is>
      </c>
      <c r="E24" s="23" t="inlineStr">
        <is>
          <t>曝光 / 播放量</t>
        </is>
      </c>
    </row>
    <row r="25" ht="26" customHeight="1">
      <c r="A25" s="6" t="inlineStr">
        <is>
          <t>断货前均流量</t>
        </is>
      </c>
      <c r="B25" s="7" t="inlineStr">
        <is>
          <t>恢复基线</t>
        </is>
      </c>
      <c r="C25" s="22" t="inlineStr">
        <is>
          <t>计算</t>
        </is>
      </c>
      <c r="D25" s="9" t="inlineStr">
        <is>
          <t>素材系统</t>
        </is>
      </c>
      <c r="E25" s="23" t="inlineStr">
        <is>
          <t>断货前窗口均值</t>
        </is>
      </c>
    </row>
    <row r="26" ht="26" customHeight="1">
      <c r="A26" s="6" t="inlineStr">
        <is>
          <t>当前渠道</t>
        </is>
      </c>
      <c r="B26" s="7" t="inlineStr">
        <is>
          <t>当前放量渠道</t>
        </is>
      </c>
      <c r="C26" s="22" t="inlineStr">
        <is>
          <t>枚举</t>
        </is>
      </c>
      <c r="D26" s="9" t="inlineStr">
        <is>
          <t>运营</t>
        </is>
      </c>
      <c r="E26" s="23" t="inlineStr">
        <is>
          <t>剪辑 / 商务 / 直播</t>
        </is>
      </c>
    </row>
    <row r="27" ht="26" customHeight="1">
      <c r="A27" s="6" t="inlineStr">
        <is>
          <t>节点类型 / 计划日 / 进度</t>
        </is>
      </c>
      <c r="B27" s="7" t="inlineStr">
        <is>
          <t>跨部门协同节点信息</t>
        </is>
      </c>
      <c r="C27" s="22" t="inlineStr">
        <is>
          <t>混合</t>
        </is>
      </c>
      <c r="D27" s="9" t="inlineStr">
        <is>
          <t>项目 / 协同系统</t>
        </is>
      </c>
      <c r="E27" s="23" t="inlineStr">
        <is>
          <t>如：达人寄样</t>
        </is>
      </c>
    </row>
    <row r="28" ht="26" customHeight="1">
      <c r="A28" s="6" t="inlineStr">
        <is>
          <t>失败标签 / 复盘状态</t>
        </is>
      </c>
      <c r="B28" s="7" t="inlineStr">
        <is>
          <t>推品失败标记</t>
        </is>
      </c>
      <c r="C28" s="22" t="inlineStr">
        <is>
          <t>枚举</t>
        </is>
      </c>
      <c r="D28" s="9" t="inlineStr">
        <is>
          <t>运营</t>
        </is>
      </c>
      <c r="E28" s="23" t="inlineStr">
        <is>
          <t>推品失败；未复盘 / 已复盘</t>
        </is>
      </c>
    </row>
    <row r="29" ht="26" customHeight="1">
      <c r="A29" s="6" t="inlineStr">
        <is>
          <t>新品状态 / 出货进度 / 计划进度</t>
        </is>
      </c>
      <c r="B29" s="7" t="inlineStr">
        <is>
          <t>上架进度</t>
        </is>
      </c>
      <c r="C29" s="22" t="inlineStr">
        <is>
          <t>混合</t>
        </is>
      </c>
      <c r="D29" s="9" t="inlineStr">
        <is>
          <t>供应链 + 运营</t>
        </is>
      </c>
      <c r="E29" s="23" t="inlineStr">
        <is>
          <t>待上架 / 已上架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8" customWidth="1" min="4" max="4"/>
  </cols>
  <sheetData>
    <row r="1" ht="24" customHeight="1">
      <c r="A1" s="24" t="inlineStr">
        <is>
          <t>一、优先级定义（决定排序与响应时限）</t>
        </is>
      </c>
    </row>
    <row r="2" ht="24" customHeight="1">
      <c r="A2" s="3" t="inlineStr">
        <is>
          <t>优先级</t>
        </is>
      </c>
      <c r="B2" s="3" t="inlineStr">
        <is>
          <t>含义</t>
        </is>
      </c>
      <c r="C2" s="3" t="inlineStr">
        <is>
          <t>响应时限</t>
        </is>
      </c>
      <c r="D2" s="3" t="inlineStr">
        <is>
          <t>排序权重</t>
        </is>
      </c>
    </row>
    <row r="3" ht="34" customHeight="1">
      <c r="A3" s="12" t="inlineStr">
        <is>
          <t>P0</t>
        </is>
      </c>
      <c r="B3" s="7" t="inlineStr">
        <is>
          <t>不可逆损失：断货 / 断档 / 协同卡点。做晚了直接损失营收</t>
        </is>
      </c>
      <c r="C3" s="10" t="inlineStr">
        <is>
          <t>当日 ~ 24h</t>
        </is>
      </c>
      <c r="D3" s="22" t="inlineStr">
        <is>
          <t>最高（置顶）</t>
        </is>
      </c>
    </row>
    <row r="4" ht="34" customHeight="1">
      <c r="A4" s="14" t="inlineStr">
        <is>
          <t>P1</t>
        </is>
      </c>
      <c r="B4" s="7" t="inlineStr">
        <is>
          <t>增长机会、可短暂等待：放量、备货方向、异常研判</t>
        </is>
      </c>
      <c r="C4" s="10" t="inlineStr">
        <is>
          <t>48h 内</t>
        </is>
      </c>
      <c r="D4" s="22" t="inlineStr">
        <is>
          <t>中</t>
        </is>
      </c>
    </row>
    <row r="5" ht="34" customHeight="1">
      <c r="A5" s="20" t="inlineStr">
        <is>
          <t>P2</t>
        </is>
      </c>
      <c r="B5" s="7" t="inlineStr">
        <is>
          <t>优化类：素材 code 回收、失败品复盘</t>
        </is>
      </c>
      <c r="C5" s="10" t="inlineStr">
        <is>
          <t>按周期</t>
        </is>
      </c>
      <c r="D5" s="22" t="inlineStr">
        <is>
          <t>低</t>
        </is>
      </c>
    </row>
    <row r="7" ht="24" customHeight="1">
      <c r="A7" s="24" t="inlineStr">
        <is>
          <t>二、可配阈值清单（上线后由运营主管统一调参）</t>
        </is>
      </c>
    </row>
    <row r="8" ht="24" customHeight="1">
      <c r="A8" s="3" t="inlineStr">
        <is>
          <t>阈值项</t>
        </is>
      </c>
      <c r="B8" s="3" t="inlineStr">
        <is>
          <t>默认值</t>
        </is>
      </c>
      <c r="C8" s="3" t="inlineStr">
        <is>
          <t>作用规则</t>
        </is>
      </c>
      <c r="D8" s="3" t="inlineStr">
        <is>
          <t>调参方向</t>
        </is>
      </c>
    </row>
    <row r="9" ht="24" customHeight="1">
      <c r="A9" s="6" t="inlineStr">
        <is>
          <t>断档天数阈值</t>
        </is>
      </c>
      <c r="B9" s="10" t="inlineStr">
        <is>
          <t>7 天</t>
        </is>
      </c>
      <c r="C9" s="22" t="inlineStr">
        <is>
          <t>R-A1</t>
        </is>
      </c>
      <c r="D9" s="23" t="inlineStr">
        <is>
          <t>调小→更早预警，但可能误报</t>
        </is>
      </c>
    </row>
    <row r="10" ht="24" customHeight="1">
      <c r="A10" s="6" t="inlineStr">
        <is>
          <t>老素材恢复率</t>
        </is>
      </c>
      <c r="B10" s="10" t="inlineStr">
        <is>
          <t>60%</t>
        </is>
      </c>
      <c r="C10" s="22" t="inlineStr">
        <is>
          <t>R-A2</t>
        </is>
      </c>
      <c r="D10" s="23" t="inlineStr">
        <is>
          <t>调高→对素材更严</t>
        </is>
      </c>
    </row>
    <row r="11" ht="24" customHeight="1">
      <c r="A11" s="6" t="inlineStr">
        <is>
          <t>正向天数阈值</t>
        </is>
      </c>
      <c r="B11" s="10" t="inlineStr">
        <is>
          <t>3 天</t>
        </is>
      </c>
      <c r="C11" s="22" t="inlineStr">
        <is>
          <t>R-S1</t>
        </is>
      </c>
      <c r="D11" s="23" t="inlineStr">
        <is>
          <t>调大→放量更保守</t>
        </is>
      </c>
    </row>
    <row r="12" ht="24" customHeight="1">
      <c r="A12" s="6" t="inlineStr">
        <is>
          <t>放量周期阈值</t>
        </is>
      </c>
      <c r="B12" s="10" t="inlineStr">
        <is>
          <t>30 天</t>
        </is>
      </c>
      <c r="C12" s="22" t="inlineStr">
        <is>
          <t>R-S2</t>
        </is>
      </c>
      <c r="D12" s="23" t="inlineStr">
        <is>
          <t>库存需支撑的最短推广期</t>
        </is>
      </c>
    </row>
    <row r="13" ht="24" customHeight="1">
      <c r="A13" s="6" t="inlineStr">
        <is>
          <t>日销触发区间</t>
        </is>
      </c>
      <c r="B13" s="10" t="inlineStr">
        <is>
          <t>15–20 单</t>
        </is>
      </c>
      <c r="C13" s="22" t="inlineStr">
        <is>
          <t>R-B1</t>
        </is>
      </c>
      <c r="D13" s="23" t="inlineStr">
        <is>
          <t>按品类调，防断货前置</t>
        </is>
      </c>
    </row>
    <row r="14" ht="24" customHeight="1">
      <c r="A14" s="6" t="inlineStr">
        <is>
          <t>安全库存天数</t>
        </is>
      </c>
      <c r="B14" s="10" t="inlineStr">
        <is>
          <t>7 天</t>
        </is>
      </c>
      <c r="C14" s="22" t="inlineStr">
        <is>
          <t>R-B2</t>
        </is>
      </c>
      <c r="D14" s="23" t="inlineStr">
        <is>
          <t>调大→更早追单</t>
        </is>
      </c>
    </row>
    <row r="15" ht="24" customHeight="1">
      <c r="A15" s="6" t="inlineStr">
        <is>
          <t>海外仓目标占比</t>
        </is>
      </c>
      <c r="B15" s="10" t="inlineStr">
        <is>
          <t>90%</t>
        </is>
      </c>
      <c r="C15" s="22" t="inlineStr">
        <is>
          <t>R-B3</t>
        </is>
      </c>
      <c r="D15" s="23" t="inlineStr">
        <is>
          <t>按季节 / 成本调</t>
        </is>
      </c>
    </row>
    <row r="16" ht="24" customHeight="1">
      <c r="A16" s="6" t="inlineStr">
        <is>
          <t>波动阈值</t>
        </is>
      </c>
      <c r="B16" s="10" t="inlineStr">
        <is>
          <t>30%</t>
        </is>
      </c>
      <c r="C16" s="22" t="inlineStr">
        <is>
          <t>R-D1</t>
        </is>
      </c>
      <c r="D16" s="23" t="inlineStr">
        <is>
          <t>调小→更敏感，告警更多</t>
        </is>
      </c>
    </row>
    <row r="17" ht="24" customHeight="1">
      <c r="A17" s="6" t="inlineStr">
        <is>
          <t>骤增阈值 / 爆量预警</t>
        </is>
      </c>
      <c r="B17" s="10" t="inlineStr">
        <is>
          <t>+50% / 14 天</t>
        </is>
      </c>
      <c r="C17" s="22" t="inlineStr">
        <is>
          <t>R-D2</t>
        </is>
      </c>
      <c r="D17" s="23" t="inlineStr">
        <is>
          <t>识别爆量断货风险</t>
        </is>
      </c>
    </row>
    <row r="18" ht="24" customHeight="1">
      <c r="A18" s="6" t="inlineStr">
        <is>
          <t>提前校验天数</t>
        </is>
      </c>
      <c r="B18" s="10" t="inlineStr">
        <is>
          <t>3 天</t>
        </is>
      </c>
      <c r="C18" s="22" t="inlineStr">
        <is>
          <t>R-C1</t>
        </is>
      </c>
      <c r="D18" s="23" t="inlineStr">
        <is>
          <t>跨部门节点提前量</t>
        </is>
      </c>
    </row>
    <row r="19" ht="24" customHeight="1">
      <c r="A19" s="6" t="inlineStr">
        <is>
          <t>月末触发日</t>
        </is>
      </c>
      <c r="B19" s="10" t="inlineStr">
        <is>
          <t>26 号</t>
        </is>
      </c>
      <c r="C19" s="22" t="inlineStr">
        <is>
          <t>R-M1</t>
        </is>
      </c>
      <c r="D19" s="23" t="inlineStr">
        <is>
          <t>次月规划生成日</t>
        </is>
      </c>
    </row>
    <row r="21" ht="24" customHeight="1">
      <c r="A21" s="24" t="inlineStr">
        <is>
          <t>三、关键枚举值</t>
        </is>
      </c>
    </row>
    <row r="22" ht="24" customHeight="1">
      <c r="A22" s="25" t="inlineStr">
        <is>
          <t>枚举字段</t>
        </is>
      </c>
      <c r="B22" s="26" t="inlineStr">
        <is>
          <t>取值</t>
        </is>
      </c>
    </row>
    <row r="23" ht="22" customHeight="1">
      <c r="A23" s="27" t="inlineStr">
        <is>
          <t>生命周期阶段</t>
        </is>
      </c>
      <c r="B23" s="28" t="inlineStr">
        <is>
          <t>新品 / 测试 / 放量 / 成熟 / 衰退</t>
        </is>
      </c>
    </row>
    <row r="24" ht="22" customHeight="1">
      <c r="A24" s="27" t="inlineStr">
        <is>
          <t>季节属性</t>
        </is>
      </c>
      <c r="B24" s="28" t="inlineStr">
        <is>
          <t>夏季款 / 秋冬款 / 四季款</t>
        </is>
      </c>
    </row>
    <row r="25" ht="22" customHeight="1">
      <c r="A25" s="27" t="inlineStr">
        <is>
          <t>到货状态</t>
        </is>
      </c>
      <c r="B25" s="28" t="inlineStr">
        <is>
          <t>未到货 / 在途 / 已到货</t>
        </is>
      </c>
    </row>
    <row r="26" ht="22" customHeight="1">
      <c r="A26" s="27" t="inlineStr">
        <is>
          <t>备货状态</t>
        </is>
      </c>
      <c r="B26" s="28" t="inlineStr">
        <is>
          <t>未备货 / 备货中 / 已备货</t>
        </is>
      </c>
    </row>
    <row r="27" ht="22" customHeight="1">
      <c r="A27" s="27" t="inlineStr">
        <is>
          <t>当前渠道</t>
        </is>
      </c>
      <c r="B27" s="28" t="inlineStr">
        <is>
          <t>剪辑 / 商务 / 直播</t>
        </is>
      </c>
    </row>
    <row r="28" ht="22" customHeight="1">
      <c r="A28" s="27" t="inlineStr">
        <is>
          <t>节点类型</t>
        </is>
      </c>
      <c r="B28" s="28" t="inlineStr">
        <is>
          <t>跨部门 / 单部门</t>
        </is>
      </c>
    </row>
  </sheetData>
  <mergeCells count="10">
    <mergeCell ref="A1:D1"/>
    <mergeCell ref="B28:D28"/>
    <mergeCell ref="B23:D23"/>
    <mergeCell ref="B22:D22"/>
    <mergeCell ref="A21:D21"/>
    <mergeCell ref="B26:D26"/>
    <mergeCell ref="B27:D27"/>
    <mergeCell ref="A7:D7"/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2026-07-17T07:32:21Z</dcterms:created>
  <dcterms:modified xmlns:dcterms="http://purl.org/dc/terms/" xmlns:xsi="http://www.w3.org/2001/XMLSchema-instance" xsi:type="dcterms:W3CDTF">2026-07-17T07:32:21Z</dcterms:modified>
</cp:coreProperties>
</file>